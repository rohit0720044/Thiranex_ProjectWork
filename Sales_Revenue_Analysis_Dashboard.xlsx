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ks07\Documents\Codex\2026-06-24\sales-revenue-analysis-dashboard-build-a\outputs\"/>
    </mc:Choice>
  </mc:AlternateContent>
  <xr:revisionPtr revIDLastSave="0" documentId="13_ncr:1_{AC285459-C02E-449F-84F8-8499F2E7C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3" r:id="rId1"/>
    <sheet name="Analysis" sheetId="2" r:id="rId2"/>
    <sheet name="Dashboar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51" i="3" l="1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K1343" i="3"/>
  <c r="I1343" i="3"/>
  <c r="I1342" i="3"/>
  <c r="I1341" i="3"/>
  <c r="I1340" i="3"/>
  <c r="I1339" i="3"/>
  <c r="K1338" i="3"/>
  <c r="I1338" i="3"/>
  <c r="I1337" i="3"/>
  <c r="I1336" i="3"/>
  <c r="I1335" i="3"/>
  <c r="I1334" i="3"/>
  <c r="K1333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K1209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K1085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K982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K961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K837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K713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K589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K465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K341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K217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K93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B5" i="2"/>
  <c r="B4" i="2"/>
  <c r="B3" i="2"/>
  <c r="A49" i="1"/>
  <c r="K1332" i="3" l="1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976" i="3"/>
  <c r="K968" i="3"/>
  <c r="K967" i="3"/>
  <c r="K964" i="3"/>
  <c r="K963" i="3"/>
  <c r="K962" i="3"/>
  <c r="K53" i="3"/>
  <c r="K48" i="3"/>
  <c r="K46" i="3"/>
  <c r="K38" i="3"/>
  <c r="K34" i="3"/>
  <c r="K33" i="3"/>
  <c r="K31" i="3"/>
  <c r="K25" i="3"/>
  <c r="K21" i="3"/>
  <c r="K20" i="3"/>
  <c r="K18" i="3"/>
  <c r="K14" i="3"/>
  <c r="K9" i="3"/>
  <c r="K6" i="3"/>
  <c r="K2" i="3"/>
  <c r="A21" i="2"/>
  <c r="B20" i="2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B19" i="2"/>
  <c r="K1440" i="3"/>
  <c r="K1435" i="3"/>
  <c r="K1433" i="3"/>
  <c r="K1432" i="3"/>
  <c r="K1430" i="3"/>
  <c r="K1429" i="3"/>
  <c r="K1427" i="3"/>
  <c r="K1425" i="3"/>
  <c r="K1422" i="3"/>
  <c r="K1416" i="3"/>
  <c r="K1414" i="3"/>
  <c r="K1412" i="3"/>
  <c r="K1410" i="3"/>
  <c r="K1404" i="3"/>
  <c r="K1403" i="3"/>
  <c r="K1402" i="3"/>
  <c r="K1401" i="3"/>
  <c r="K1399" i="3"/>
  <c r="K1397" i="3"/>
  <c r="K1396" i="3"/>
  <c r="K1395" i="3"/>
  <c r="K1390" i="3"/>
  <c r="K1388" i="3"/>
  <c r="K1386" i="3"/>
  <c r="K1382" i="3"/>
  <c r="K1381" i="3"/>
  <c r="K1380" i="3"/>
  <c r="K1379" i="3"/>
  <c r="K1378" i="3"/>
  <c r="K1376" i="3"/>
  <c r="K1375" i="3"/>
  <c r="K1372" i="3"/>
  <c r="K1367" i="3"/>
  <c r="K1366" i="3"/>
  <c r="K1363" i="3"/>
  <c r="K1360" i="3"/>
  <c r="K1353" i="3"/>
  <c r="K1352" i="3"/>
  <c r="K1351" i="3"/>
  <c r="K1350" i="3"/>
  <c r="K1349" i="3"/>
  <c r="K1348" i="3"/>
  <c r="K1347" i="3"/>
  <c r="K1346" i="3"/>
  <c r="K1345" i="3"/>
  <c r="K1344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1" i="3"/>
  <c r="K980" i="3"/>
  <c r="K979" i="3"/>
  <c r="K978" i="3"/>
  <c r="K977" i="3"/>
  <c r="K975" i="3"/>
  <c r="K974" i="3"/>
  <c r="K973" i="3"/>
  <c r="K972" i="3"/>
  <c r="K971" i="3"/>
  <c r="K970" i="3"/>
  <c r="K969" i="3"/>
  <c r="K966" i="3"/>
  <c r="K965" i="3"/>
  <c r="K56" i="3"/>
  <c r="K51" i="3"/>
  <c r="K47" i="3"/>
  <c r="K39" i="3"/>
  <c r="K35" i="3"/>
  <c r="K32" i="3"/>
  <c r="K30" i="3"/>
  <c r="K26" i="3"/>
  <c r="K23" i="3"/>
  <c r="K17" i="3"/>
  <c r="K15" i="3"/>
  <c r="K12" i="3"/>
  <c r="K4" i="3"/>
  <c r="C21" i="2"/>
  <c r="H10" i="2"/>
  <c r="H8" i="2"/>
  <c r="K7" i="2"/>
  <c r="E7" i="2"/>
  <c r="J9" i="1" s="1"/>
  <c r="K6" i="2"/>
  <c r="K5" i="2"/>
  <c r="E5" i="2"/>
  <c r="N4" i="2"/>
  <c r="K4" i="2"/>
  <c r="H4" i="2"/>
  <c r="E4" i="2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90" i="3"/>
  <c r="K89" i="3"/>
  <c r="K88" i="3"/>
  <c r="K86" i="3"/>
  <c r="K85" i="3"/>
  <c r="K84" i="3"/>
  <c r="K80" i="3"/>
  <c r="K78" i="3"/>
  <c r="K76" i="3"/>
  <c r="K74" i="3"/>
  <c r="K69" i="3"/>
  <c r="K67" i="3"/>
  <c r="K66" i="3"/>
  <c r="K63" i="3"/>
  <c r="K61" i="3"/>
  <c r="K60" i="3"/>
  <c r="K55" i="3"/>
  <c r="K54" i="3"/>
  <c r="K52" i="3"/>
  <c r="K49" i="3"/>
  <c r="K45" i="3"/>
  <c r="K44" i="3"/>
  <c r="K37" i="3"/>
  <c r="K28" i="3"/>
  <c r="K19" i="3"/>
  <c r="K8" i="3"/>
  <c r="B21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H11" i="2"/>
  <c r="C11" i="2"/>
  <c r="B11" i="2"/>
  <c r="A11" i="2"/>
  <c r="C10" i="2"/>
  <c r="B10" i="2"/>
  <c r="A10" i="2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81" i="3"/>
  <c r="K75" i="3"/>
  <c r="K59" i="3"/>
  <c r="K58" i="3"/>
  <c r="K50" i="3"/>
  <c r="K43" i="3"/>
  <c r="K40" i="3"/>
  <c r="A19" i="2"/>
  <c r="C18" i="2"/>
  <c r="K1377" i="3"/>
  <c r="K1374" i="3"/>
  <c r="K1373" i="3"/>
  <c r="K1371" i="3"/>
  <c r="K1370" i="3"/>
  <c r="K1369" i="3"/>
  <c r="K1368" i="3"/>
  <c r="K1365" i="3"/>
  <c r="K1364" i="3"/>
  <c r="K1359" i="3"/>
  <c r="K1357" i="3"/>
  <c r="K1340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C19" i="2"/>
  <c r="K1451" i="3"/>
  <c r="K1450" i="3"/>
  <c r="K1449" i="3"/>
  <c r="K1448" i="3"/>
  <c r="K1447" i="3"/>
  <c r="K1446" i="3"/>
  <c r="K1445" i="3"/>
  <c r="K1444" i="3"/>
  <c r="K1443" i="3"/>
  <c r="K1442" i="3"/>
  <c r="K1441" i="3"/>
  <c r="K1439" i="3"/>
  <c r="K1438" i="3"/>
  <c r="K1437" i="3"/>
  <c r="K1436" i="3"/>
  <c r="K1434" i="3"/>
  <c r="K1431" i="3"/>
  <c r="K1428" i="3"/>
  <c r="K1426" i="3"/>
  <c r="K1424" i="3"/>
  <c r="K1423" i="3"/>
  <c r="K1421" i="3"/>
  <c r="K1420" i="3"/>
  <c r="K1419" i="3"/>
  <c r="K1418" i="3"/>
  <c r="K1417" i="3"/>
  <c r="K1415" i="3"/>
  <c r="K1413" i="3"/>
  <c r="K1411" i="3"/>
  <c r="K1409" i="3"/>
  <c r="K1408" i="3"/>
  <c r="K1407" i="3"/>
  <c r="K1406" i="3"/>
  <c r="K1405" i="3"/>
  <c r="K1400" i="3"/>
  <c r="K1398" i="3"/>
  <c r="K1394" i="3"/>
  <c r="K1393" i="3"/>
  <c r="K1392" i="3"/>
  <c r="K1391" i="3"/>
  <c r="K1389" i="3"/>
  <c r="K1387" i="3"/>
  <c r="K1385" i="3"/>
  <c r="K1384" i="3"/>
  <c r="K1383" i="3"/>
  <c r="K1362" i="3"/>
  <c r="K1361" i="3"/>
  <c r="K1358" i="3"/>
  <c r="K1356" i="3"/>
  <c r="K1355" i="3"/>
  <c r="K1354" i="3"/>
  <c r="K1342" i="3"/>
  <c r="K1341" i="3"/>
  <c r="K1339" i="3"/>
  <c r="K1337" i="3"/>
  <c r="K1336" i="3"/>
  <c r="K1335" i="3"/>
  <c r="K1334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77" i="3"/>
  <c r="K73" i="3"/>
  <c r="K71" i="3"/>
  <c r="K65" i="3"/>
  <c r="K64" i="3"/>
  <c r="K62" i="3"/>
  <c r="K57" i="3"/>
  <c r="K41" i="3"/>
  <c r="K36" i="3"/>
  <c r="K29" i="3"/>
  <c r="K27" i="3"/>
  <c r="K24" i="3"/>
  <c r="K22" i="3"/>
  <c r="K16" i="3"/>
  <c r="K13" i="3"/>
  <c r="K11" i="3"/>
  <c r="K10" i="3"/>
  <c r="K7" i="3"/>
  <c r="K5" i="3"/>
  <c r="K3" i="3"/>
  <c r="C20" i="2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91" i="3"/>
  <c r="K87" i="3"/>
  <c r="K83" i="3"/>
  <c r="K82" i="3"/>
  <c r="K79" i="3"/>
  <c r="K72" i="3"/>
  <c r="K70" i="3"/>
  <c r="K68" i="3"/>
  <c r="K42" i="3"/>
  <c r="A18" i="2"/>
  <c r="C17" i="2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B17" i="2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A17" i="2"/>
  <c r="C16" i="2"/>
  <c r="K92" i="3"/>
  <c r="A20" i="2"/>
  <c r="B18" i="2"/>
  <c r="H9" i="2"/>
  <c r="H7" i="2"/>
  <c r="N6" i="2"/>
  <c r="H6" i="2"/>
  <c r="N5" i="2"/>
  <c r="H5" i="2"/>
  <c r="E6" i="2" l="1"/>
  <c r="G9" i="1" s="1"/>
  <c r="D9" i="1"/>
  <c r="E8" i="2"/>
  <c r="E9" i="2"/>
  <c r="M9" i="1" s="1"/>
  <c r="A9" i="1"/>
</calcChain>
</file>

<file path=xl/sharedStrings.xml><?xml version="1.0" encoding="utf-8"?>
<sst xmlns="http://schemas.openxmlformats.org/spreadsheetml/2006/main" count="10217" uniqueCount="1520">
  <si>
    <t>SALES &amp; REVENUE ANALYSIS</t>
  </si>
  <si>
    <t>Interactive performance view • Update the blue selectors to refresh every KPI and chart</t>
  </si>
  <si>
    <t>YEAR</t>
  </si>
  <si>
    <t>REGION</t>
  </si>
  <si>
    <t>All</t>
  </si>
  <si>
    <t>CATEGORY</t>
  </si>
  <si>
    <t>TOTAL REVENUE</t>
  </si>
  <si>
    <t>TOTAL PROFIT</t>
  </si>
  <si>
    <t>PROFIT MARGIN</t>
  </si>
  <si>
    <t>ORDERS</t>
  </si>
  <si>
    <t>YOY REVENUE GROWTH</t>
  </si>
  <si>
    <t>Monthly Revenue &amp; Profit</t>
  </si>
  <si>
    <t>Revenue by Region</t>
  </si>
  <si>
    <t>Product Performance</t>
  </si>
  <si>
    <t>Category Mix</t>
  </si>
  <si>
    <t>Formula-Driven Analysis Engine</t>
  </si>
  <si>
    <t>Selected Year</t>
  </si>
  <si>
    <t>KPI</t>
  </si>
  <si>
    <t>Value</t>
  </si>
  <si>
    <t>Product</t>
  </si>
  <si>
    <t>Revenue</t>
  </si>
  <si>
    <t>Region</t>
  </si>
  <si>
    <t>Category</t>
  </si>
  <si>
    <t>Selected Region</t>
  </si>
  <si>
    <t>Total Revenue</t>
  </si>
  <si>
    <t>Nova Laptop</t>
  </si>
  <si>
    <t>North</t>
  </si>
  <si>
    <t>Electronics</t>
  </si>
  <si>
    <t>Selected Category</t>
  </si>
  <si>
    <t>Total Profit</t>
  </si>
  <si>
    <t>Pulse Tablet</t>
  </si>
  <si>
    <t>South</t>
  </si>
  <si>
    <t>Office</t>
  </si>
  <si>
    <t>Last Refresh</t>
  </si>
  <si>
    <t>Profit Margin</t>
  </si>
  <si>
    <t>Orbit Monitor</t>
  </si>
  <si>
    <t>East</t>
  </si>
  <si>
    <t>Accessories</t>
  </si>
  <si>
    <t>Orders</t>
  </si>
  <si>
    <t>Ergo Chair</t>
  </si>
  <si>
    <t>West</t>
  </si>
  <si>
    <t>Average Order Value</t>
  </si>
  <si>
    <t>Lift Desk</t>
  </si>
  <si>
    <t>Month</t>
  </si>
  <si>
    <t>Profit</t>
  </si>
  <si>
    <t>YoY Revenue Growth</t>
  </si>
  <si>
    <t>Focus Lamp</t>
  </si>
  <si>
    <t>Arc Keyboard</t>
  </si>
  <si>
    <t>Flow Mouse</t>
  </si>
  <si>
    <t>Order Date</t>
  </si>
  <si>
    <t>Order ID</t>
  </si>
  <si>
    <t>Units</t>
  </si>
  <si>
    <t>Unit Price</t>
  </si>
  <si>
    <t>Discount</t>
  </si>
  <si>
    <t>Cost</t>
  </si>
  <si>
    <t>Channel</t>
  </si>
  <si>
    <t>Customer Segment</t>
  </si>
  <si>
    <t>Sales Rep</t>
  </si>
  <si>
    <t>ORD-01046</t>
  </si>
  <si>
    <t>Online</t>
  </si>
  <si>
    <t>Mid-Market</t>
  </si>
  <si>
    <t>Noah Williams</t>
  </si>
  <si>
    <t>ORD-01446</t>
  </si>
  <si>
    <t>Partner</t>
  </si>
  <si>
    <t>SMB</t>
  </si>
  <si>
    <t>Liam Garcia</t>
  </si>
  <si>
    <t>ORD-00779</t>
  </si>
  <si>
    <t>Retail</t>
  </si>
  <si>
    <t>Enterprise</t>
  </si>
  <si>
    <t>Ava Patel</t>
  </si>
  <si>
    <t>ORD-01120</t>
  </si>
  <si>
    <t>Sophia Brown</t>
  </si>
  <si>
    <t>ORD-00260</t>
  </si>
  <si>
    <t>ORD-01429</t>
  </si>
  <si>
    <t>Mia Chen</t>
  </si>
  <si>
    <t>ORD-00021</t>
  </si>
  <si>
    <t>ORD-00379</t>
  </si>
  <si>
    <t>ORD-01060</t>
  </si>
  <si>
    <t>Ethan Davis</t>
  </si>
  <si>
    <t>ORD-00584</t>
  </si>
  <si>
    <t>ORD-01064</t>
  </si>
  <si>
    <t>ORD-01228</t>
  </si>
  <si>
    <t>ORD-00877</t>
  </si>
  <si>
    <t>ORD-00144</t>
  </si>
  <si>
    <t>ORD-00245</t>
  </si>
  <si>
    <t>ORD-00559</t>
  </si>
  <si>
    <t>ORD-00540</t>
  </si>
  <si>
    <t>ORD-00743</t>
  </si>
  <si>
    <t>ORD-00193</t>
  </si>
  <si>
    <t>ORD-00039</t>
  </si>
  <si>
    <t>ORD-00462</t>
  </si>
  <si>
    <t>ORD-00907</t>
  </si>
  <si>
    <t>ORD-00834</t>
  </si>
  <si>
    <t>ORD-00610</t>
  </si>
  <si>
    <t>ORD-00812</t>
  </si>
  <si>
    <t>ORD-00828</t>
  </si>
  <si>
    <t>ORD-00680</t>
  </si>
  <si>
    <t>ORD-00465</t>
  </si>
  <si>
    <t>ORD-00004</t>
  </si>
  <si>
    <t>ORD-00098</t>
  </si>
  <si>
    <t>ORD-00560</t>
  </si>
  <si>
    <t>ORD-00837</t>
  </si>
  <si>
    <t>ORD-00974</t>
  </si>
  <si>
    <t>ORD-01370</t>
  </si>
  <si>
    <t>ORD-00202</t>
  </si>
  <si>
    <t>ORD-00934</t>
  </si>
  <si>
    <t>ORD-00532</t>
  </si>
  <si>
    <t>ORD-00722</t>
  </si>
  <si>
    <t>ORD-00535</t>
  </si>
  <si>
    <t>ORD-01407</t>
  </si>
  <si>
    <t>ORD-01124</t>
  </si>
  <si>
    <t>ORD-01442</t>
  </si>
  <si>
    <t>ORD-00026</t>
  </si>
  <si>
    <t>ORD-00236</t>
  </si>
  <si>
    <t>ORD-00296</t>
  </si>
  <si>
    <t>ORD-00506</t>
  </si>
  <si>
    <t>ORD-00781</t>
  </si>
  <si>
    <t>ORD-01253</t>
  </si>
  <si>
    <t>ORD-00374</t>
  </si>
  <si>
    <t>ORD-00252</t>
  </si>
  <si>
    <t>ORD-01054</t>
  </si>
  <si>
    <t>ORD-00184</t>
  </si>
  <si>
    <t>ORD-00580</t>
  </si>
  <si>
    <t>ORD-00590</t>
  </si>
  <si>
    <t>ORD-01227</t>
  </si>
  <si>
    <t>ORD-00464</t>
  </si>
  <si>
    <t>ORD-00961</t>
  </si>
  <si>
    <t>ORD-00949</t>
  </si>
  <si>
    <t>ORD-01176</t>
  </si>
  <si>
    <t>ORD-00199</t>
  </si>
  <si>
    <t>ORD-00883</t>
  </si>
  <si>
    <t>ORD-00274</t>
  </si>
  <si>
    <t>ORD-00599</t>
  </si>
  <si>
    <t>ORD-00846</t>
  </si>
  <si>
    <t>ORD-01164</t>
  </si>
  <si>
    <t>ORD-01269</t>
  </si>
  <si>
    <t>ORD-00784</t>
  </si>
  <si>
    <t>ORD-01201</t>
  </si>
  <si>
    <t>ORD-01356</t>
  </si>
  <si>
    <t>ORD-00782</t>
  </si>
  <si>
    <t>ORD-00467</t>
  </si>
  <si>
    <t>ORD-00243</t>
  </si>
  <si>
    <t>ORD-01394</t>
  </si>
  <si>
    <t>ORD-01117</t>
  </si>
  <si>
    <t>ORD-00370</t>
  </si>
  <si>
    <t>ORD-00013</t>
  </si>
  <si>
    <t>ORD-00671</t>
  </si>
  <si>
    <t>ORD-00441</t>
  </si>
  <si>
    <t>ORD-01413</t>
  </si>
  <si>
    <t>ORD-00095</t>
  </si>
  <si>
    <t>ORD-01383</t>
  </si>
  <si>
    <t>ORD-00444</t>
  </si>
  <si>
    <t>ORD-00669</t>
  </si>
  <si>
    <t>ORD-00326</t>
  </si>
  <si>
    <t>ORD-00189</t>
  </si>
  <si>
    <t>ORD-00477</t>
  </si>
  <si>
    <t>ORD-01052</t>
  </si>
  <si>
    <t>ORD-00845</t>
  </si>
  <si>
    <t>ORD-01195</t>
  </si>
  <si>
    <t>ORD-00479</t>
  </si>
  <si>
    <t>ORD-01249</t>
  </si>
  <si>
    <t>ORD-00283</t>
  </si>
  <si>
    <t>ORD-01080</t>
  </si>
  <si>
    <t>ORD-01204</t>
  </si>
  <si>
    <t>ORD-01039</t>
  </si>
  <si>
    <t>ORD-01294</t>
  </si>
  <si>
    <t>ORD-01362</t>
  </si>
  <si>
    <t>ORD-00046</t>
  </si>
  <si>
    <t>ORD-00704</t>
  </si>
  <si>
    <t>ORD-00525</t>
  </si>
  <si>
    <t>ORD-00564</t>
  </si>
  <si>
    <t>ORD-00962</t>
  </si>
  <si>
    <t>ORD-00229</t>
  </si>
  <si>
    <t>ORD-00870</t>
  </si>
  <si>
    <t>ORD-01384</t>
  </si>
  <si>
    <t>ORD-00539</t>
  </si>
  <si>
    <t>ORD-00819</t>
  </si>
  <si>
    <t>ORD-00966</t>
  </si>
  <si>
    <t>ORD-01335</t>
  </si>
  <si>
    <t>ORD-00157</t>
  </si>
  <si>
    <t>ORD-01001</t>
  </si>
  <si>
    <t>ORD-00662</t>
  </si>
  <si>
    <t>ORD-00686</t>
  </si>
  <si>
    <t>ORD-01062</t>
  </si>
  <si>
    <t>ORD-01137</t>
  </si>
  <si>
    <t>ORD-00817</t>
  </si>
  <si>
    <t>ORD-00194</t>
  </si>
  <si>
    <t>ORD-00896</t>
  </si>
  <si>
    <t>ORD-00066</t>
  </si>
  <si>
    <t>ORD-00277</t>
  </si>
  <si>
    <t>ORD-01379</t>
  </si>
  <si>
    <t>ORD-00408</t>
  </si>
  <si>
    <t>ORD-00676</t>
  </si>
  <si>
    <t>ORD-00020</t>
  </si>
  <si>
    <t>ORD-00041</t>
  </si>
  <si>
    <t>ORD-00292</t>
  </si>
  <si>
    <t>ORD-00442</t>
  </si>
  <si>
    <t>ORD-00750</t>
  </si>
  <si>
    <t>ORD-00206</t>
  </si>
  <si>
    <t>ORD-00217</t>
  </si>
  <si>
    <t>ORD-00884</t>
  </si>
  <si>
    <t>ORD-00800</t>
  </si>
  <si>
    <t>ORD-00818</t>
  </si>
  <si>
    <t>ORD-00747</t>
  </si>
  <si>
    <t>ORD-00215</t>
  </si>
  <si>
    <t>ORD-00523</t>
  </si>
  <si>
    <t>ORD-00801</t>
  </si>
  <si>
    <t>ORD-00617</t>
  </si>
  <si>
    <t>ORD-00312</t>
  </si>
  <si>
    <t>ORD-00985</t>
  </si>
  <si>
    <t>ORD-01348</t>
  </si>
  <si>
    <t>ORD-00300</t>
  </si>
  <si>
    <t>ORD-00415</t>
  </si>
  <si>
    <t>ORD-00997</t>
  </si>
  <si>
    <t>ORD-01047</t>
  </si>
  <si>
    <t>ORD-00116</t>
  </si>
  <si>
    <t>ORD-00121</t>
  </si>
  <si>
    <t>ORD-00932</t>
  </si>
  <si>
    <t>ORD-00064</t>
  </si>
  <si>
    <t>ORD-00225</t>
  </si>
  <si>
    <t>ORD-00210</t>
  </si>
  <si>
    <t>ORD-00742</t>
  </si>
  <si>
    <t>ORD-01066</t>
  </si>
  <si>
    <t>ORD-00294</t>
  </si>
  <si>
    <t>ORD-00587</t>
  </si>
  <si>
    <t>ORD-00597</t>
  </si>
  <si>
    <t>ORD-00995</t>
  </si>
  <si>
    <t>ORD-00976</t>
  </si>
  <si>
    <t>ORD-00965</t>
  </si>
  <si>
    <t>ORD-01036</t>
  </si>
  <si>
    <t>ORD-01090</t>
  </si>
  <si>
    <t>ORD-00076</t>
  </si>
  <si>
    <t>ORD-00604</t>
  </si>
  <si>
    <t>ORD-00777</t>
  </si>
  <si>
    <t>ORD-01059</t>
  </si>
  <si>
    <t>ORD-00463</t>
  </si>
  <si>
    <t>ORD-00739</t>
  </si>
  <si>
    <t>ORD-00214</t>
  </si>
  <si>
    <t>ORD-00272</t>
  </si>
  <si>
    <t>ORD-00693</t>
  </si>
  <si>
    <t>ORD-00570</t>
  </si>
  <si>
    <t>ORD-01154</t>
  </si>
  <si>
    <t>ORD-00707</t>
  </si>
  <si>
    <t>ORD-01107</t>
  </si>
  <si>
    <t>ORD-01377</t>
  </si>
  <si>
    <t>ORD-01203</t>
  </si>
  <si>
    <t>ORD-01439</t>
  </si>
  <si>
    <t>ORD-01089</t>
  </si>
  <si>
    <t>ORD-01003</t>
  </si>
  <si>
    <t>ORD-00169</t>
  </si>
  <si>
    <t>ORD-00631</t>
  </si>
  <si>
    <t>ORD-00546</t>
  </si>
  <si>
    <t>ORD-01349</t>
  </si>
  <si>
    <t>ORD-00498</t>
  </si>
  <si>
    <t>ORD-01048</t>
  </si>
  <si>
    <t>ORD-00237</t>
  </si>
  <si>
    <t>ORD-00418</t>
  </si>
  <si>
    <t>ORD-01106</t>
  </si>
  <si>
    <t>ORD-00035</t>
  </si>
  <si>
    <t>ORD-00683</t>
  </si>
  <si>
    <t>ORD-01186</t>
  </si>
  <si>
    <t>ORD-00469</t>
  </si>
  <si>
    <t>ORD-00605</t>
  </si>
  <si>
    <t>ORD-00110</t>
  </si>
  <si>
    <t>ORD-00516</t>
  </si>
  <si>
    <t>ORD-00630</t>
  </si>
  <si>
    <t>ORD-00858</t>
  </si>
  <si>
    <t>ORD-01023</t>
  </si>
  <si>
    <t>ORD-00140</t>
  </si>
  <si>
    <t>ORD-00288</t>
  </si>
  <si>
    <t>ORD-00295</t>
  </si>
  <si>
    <t>ORD-00336</t>
  </si>
  <si>
    <t>ORD-00166</t>
  </si>
  <si>
    <t>ORD-00271</t>
  </si>
  <si>
    <t>ORD-00711</t>
  </si>
  <si>
    <t>ORD-00772</t>
  </si>
  <si>
    <t>ORD-01140</t>
  </si>
  <si>
    <t>ORD-01276</t>
  </si>
  <si>
    <t>ORD-01341</t>
  </si>
  <si>
    <t>ORD-00888</t>
  </si>
  <si>
    <t>ORD-01397</t>
  </si>
  <si>
    <t>ORD-00392</t>
  </si>
  <si>
    <t>ORD-00568</t>
  </si>
  <si>
    <t>ORD-01007</t>
  </si>
  <si>
    <t>ORD-00248</t>
  </si>
  <si>
    <t>ORD-00099</t>
  </si>
  <si>
    <t>ORD-00131</t>
  </si>
  <si>
    <t>ORD-00257</t>
  </si>
  <si>
    <t>ORD-00410</t>
  </si>
  <si>
    <t>ORD-00507</t>
  </si>
  <si>
    <t>ORD-00427</t>
  </si>
  <si>
    <t>ORD-00672</t>
  </si>
  <si>
    <t>ORD-00816</t>
  </si>
  <si>
    <t>ORD-00303</t>
  </si>
  <si>
    <t>ORD-00879</t>
  </si>
  <si>
    <t>ORD-01190</t>
  </si>
  <si>
    <t>ORD-00173</t>
  </si>
  <si>
    <t>ORD-01220</t>
  </si>
  <si>
    <t>ORD-00527</t>
  </si>
  <si>
    <t>ORD-00797</t>
  </si>
  <si>
    <t>ORD-00829</t>
  </si>
  <si>
    <t>ORD-01072</t>
  </si>
  <si>
    <t>ORD-00490</t>
  </si>
  <si>
    <t>ORD-00935</t>
  </si>
  <si>
    <t>ORD-00055</t>
  </si>
  <si>
    <t>ORD-00832</t>
  </si>
  <si>
    <t>ORD-00849</t>
  </si>
  <si>
    <t>ORD-01009</t>
  </si>
  <si>
    <t>ORD-01313</t>
  </si>
  <si>
    <t>ORD-00072</t>
  </si>
  <si>
    <t>ORD-00259</t>
  </si>
  <si>
    <t>ORD-00491</t>
  </si>
  <si>
    <t>ORD-01101</t>
  </si>
  <si>
    <t>ORD-00709</t>
  </si>
  <si>
    <t>ORD-00033</t>
  </si>
  <si>
    <t>ORD-01115</t>
  </si>
  <si>
    <t>ORD-01266</t>
  </si>
  <si>
    <t>ORD-00265</t>
  </si>
  <si>
    <t>ORD-00007</t>
  </si>
  <si>
    <t>ORD-00534</t>
  </si>
  <si>
    <t>ORD-00315</t>
  </si>
  <si>
    <t>ORD-00752</t>
  </si>
  <si>
    <t>ORD-00897</t>
  </si>
  <si>
    <t>ORD-01097</t>
  </si>
  <si>
    <t>ORD-00899</t>
  </si>
  <si>
    <t>ORD-01113</t>
  </si>
  <si>
    <t>ORD-01363</t>
  </si>
  <si>
    <t>ORD-00428</t>
  </si>
  <si>
    <t>ORD-00675</t>
  </si>
  <si>
    <t>ORD-00941</t>
  </si>
  <si>
    <t>ORD-00048</t>
  </si>
  <si>
    <t>ORD-00644</t>
  </si>
  <si>
    <t>ORD-00841</t>
  </si>
  <si>
    <t>ORD-01279</t>
  </si>
  <si>
    <t>ORD-00914</t>
  </si>
  <si>
    <t>ORD-00032</t>
  </si>
  <si>
    <t>ORD-00363</t>
  </si>
  <si>
    <t>ORD-00561</t>
  </si>
  <si>
    <t>ORD-00319</t>
  </si>
  <si>
    <t>ORD-00484</t>
  </si>
  <si>
    <t>ORD-00999</t>
  </si>
  <si>
    <t>ORD-00398</t>
  </si>
  <si>
    <t>ORD-01259</t>
  </si>
  <si>
    <t>ORD-00652</t>
  </si>
  <si>
    <t>ORD-00402</t>
  </si>
  <si>
    <t>ORD-00827</t>
  </si>
  <si>
    <t>ORD-00008</t>
  </si>
  <si>
    <t>ORD-00377</t>
  </si>
  <si>
    <t>ORD-00448</t>
  </si>
  <si>
    <t>ORD-00872</t>
  </si>
  <si>
    <t>ORD-00006</t>
  </si>
  <si>
    <t>ORD-00848</t>
  </si>
  <si>
    <t>ORD-00352</t>
  </si>
  <si>
    <t>ORD-00990</t>
  </si>
  <si>
    <t>ORD-01448</t>
  </si>
  <si>
    <t>ORD-00581</t>
  </si>
  <si>
    <t>ORD-01100</t>
  </si>
  <si>
    <t>ORD-01337</t>
  </si>
  <si>
    <t>ORD-00009</t>
  </si>
  <si>
    <t>ORD-00910</t>
  </si>
  <si>
    <t>ORD-01136</t>
  </si>
  <si>
    <t>ORD-00956</t>
  </si>
  <si>
    <t>ORD-01277</t>
  </si>
  <si>
    <t>ORD-00951</t>
  </si>
  <si>
    <t>ORD-00667</t>
  </si>
  <si>
    <t>ORD-01301</t>
  </si>
  <si>
    <t>ORD-00406</t>
  </si>
  <si>
    <t>ORD-00861</t>
  </si>
  <si>
    <t>ORD-00945</t>
  </si>
  <si>
    <t>ORD-00305</t>
  </si>
  <si>
    <t>ORD-00608</t>
  </si>
  <si>
    <t>ORD-01229</t>
  </si>
  <si>
    <t>ORD-01304</t>
  </si>
  <si>
    <t>ORD-00470</t>
  </si>
  <si>
    <t>ORD-00657</t>
  </si>
  <si>
    <t>ORD-00583</t>
  </si>
  <si>
    <t>ORD-00613</t>
  </si>
  <si>
    <t>ORD-00674</t>
  </si>
  <si>
    <t>ORD-00971</t>
  </si>
  <si>
    <t>ORD-01317</t>
  </si>
  <si>
    <t>ORD-00264</t>
  </si>
  <si>
    <t>ORD-00051</t>
  </si>
  <si>
    <t>ORD-00251</t>
  </si>
  <si>
    <t>ORD-00321</t>
  </si>
  <si>
    <t>ORD-00724</t>
  </si>
  <si>
    <t>ORD-00082</t>
  </si>
  <si>
    <t>ORD-00492</t>
  </si>
  <si>
    <t>ORD-01077</t>
  </si>
  <si>
    <t>ORD-01291</t>
  </si>
  <si>
    <t>ORD-00177</t>
  </si>
  <si>
    <t>ORD-00269</t>
  </si>
  <si>
    <t>ORD-01125</t>
  </si>
  <si>
    <t>ORD-01213</t>
  </si>
  <si>
    <t>ORD-00304</t>
  </si>
  <si>
    <t>ORD-00695</t>
  </si>
  <si>
    <t>ORD-01351</t>
  </si>
  <si>
    <t>ORD-00358</t>
  </si>
  <si>
    <t>ORD-01025</t>
  </si>
  <si>
    <t>ORD-00923</t>
  </si>
  <si>
    <t>ORD-01069</t>
  </si>
  <si>
    <t>ORD-01303</t>
  </si>
  <si>
    <t>ORD-00068</t>
  </si>
  <si>
    <t>ORD-00785</t>
  </si>
  <si>
    <t>ORD-01192</t>
  </si>
  <si>
    <t>ORD-01261</t>
  </si>
  <si>
    <t>ORD-00425</t>
  </si>
  <si>
    <t>ORD-00729</t>
  </si>
  <si>
    <t>ORD-01250</t>
  </si>
  <si>
    <t>ORD-00134</t>
  </si>
  <si>
    <t>ORD-00755</t>
  </si>
  <si>
    <t>ORD-01021</t>
  </si>
  <si>
    <t>ORD-00921</t>
  </si>
  <si>
    <t>ORD-00025</t>
  </si>
  <si>
    <t>ORD-00070</t>
  </si>
  <si>
    <t>ORD-00454</t>
  </si>
  <si>
    <t>ORD-00766</t>
  </si>
  <si>
    <t>ORD-00881</t>
  </si>
  <si>
    <t>ORD-00129</t>
  </si>
  <si>
    <t>ORD-01187</t>
  </si>
  <si>
    <t>ORD-01444</t>
  </si>
  <si>
    <t>ORD-00400</t>
  </si>
  <si>
    <t>ORD-00915</t>
  </si>
  <si>
    <t>ORD-00521</t>
  </si>
  <si>
    <t>ORD-01334</t>
  </si>
  <si>
    <t>ORD-01285</t>
  </si>
  <si>
    <t>ORD-00153</t>
  </si>
  <si>
    <t>ORD-01441</t>
  </si>
  <si>
    <t>ORD-00690</t>
  </si>
  <si>
    <t>ORD-01086</t>
  </si>
  <si>
    <t>ORD-01184</t>
  </si>
  <si>
    <t>ORD-01426</t>
  </si>
  <si>
    <t>ORD-00133</t>
  </si>
  <si>
    <t>ORD-00821</t>
  </si>
  <si>
    <t>ORD-00633</t>
  </si>
  <si>
    <t>ORD-01357</t>
  </si>
  <si>
    <t>ORD-00844</t>
  </si>
  <si>
    <t>ORD-01233</t>
  </si>
  <si>
    <t>ORD-01344</t>
  </si>
  <si>
    <t>ORD-00325</t>
  </si>
  <si>
    <t>ORD-00893</t>
  </si>
  <si>
    <t>ORD-01055</t>
  </si>
  <si>
    <t>ORD-00286</t>
  </si>
  <si>
    <t>ORD-00205</t>
  </si>
  <si>
    <t>ORD-00774</t>
  </si>
  <si>
    <t>ORD-00778</t>
  </si>
  <si>
    <t>ORD-01235</t>
  </si>
  <si>
    <t>ORD-01239</t>
  </si>
  <si>
    <t>ORD-00401</t>
  </si>
  <si>
    <t>ORD-00937</t>
  </si>
  <si>
    <t>ORD-01044</t>
  </si>
  <si>
    <t>ORD-01200</t>
  </si>
  <si>
    <t>ORD-00047</t>
  </si>
  <si>
    <t>ORD-00117</t>
  </si>
  <si>
    <t>ORD-00814</t>
  </si>
  <si>
    <t>ORD-01381</t>
  </si>
  <si>
    <t>ORD-00285</t>
  </si>
  <si>
    <t>ORD-00654</t>
  </si>
  <si>
    <t>ORD-00745</t>
  </si>
  <si>
    <t>ORD-00930</t>
  </si>
  <si>
    <t>ORD-01251</t>
  </si>
  <si>
    <t>ORD-01295</t>
  </si>
  <si>
    <t>ORD-00320</t>
  </si>
  <si>
    <t>ORD-00024</t>
  </si>
  <si>
    <t>ORD-00624</t>
  </si>
  <si>
    <t>ORD-00519</t>
  </si>
  <si>
    <t>ORD-01272</t>
  </si>
  <si>
    <t>ORD-00926</t>
  </si>
  <si>
    <t>ORD-00378</t>
  </si>
  <si>
    <t>ORD-00566</t>
  </si>
  <si>
    <t>ORD-01380</t>
  </si>
  <si>
    <t>ORD-00154</t>
  </si>
  <si>
    <t>ORD-00192</t>
  </si>
  <si>
    <t>ORD-00553</t>
  </si>
  <si>
    <t>ORD-01151</t>
  </si>
  <si>
    <t>ORD-00002</t>
  </si>
  <si>
    <t>ORD-00106</t>
  </si>
  <si>
    <t>ORD-00615</t>
  </si>
  <si>
    <t>ORD-01068</t>
  </si>
  <si>
    <t>ORD-00873</t>
  </si>
  <si>
    <t>ORD-01280</t>
  </si>
  <si>
    <t>ORD-01352</t>
  </si>
  <si>
    <t>ORD-01087</t>
  </si>
  <si>
    <t>ORD-00139</t>
  </si>
  <si>
    <t>ORD-00963</t>
  </si>
  <si>
    <t>ORD-00733</t>
  </si>
  <si>
    <t>ORD-00503</t>
  </si>
  <si>
    <t>ORD-00136</t>
  </si>
  <si>
    <t>ORD-00231</t>
  </si>
  <si>
    <t>ORD-00602</t>
  </si>
  <si>
    <t>ORD-00080</t>
  </si>
  <si>
    <t>ORD-00219</t>
  </si>
  <si>
    <t>ORD-00703</t>
  </si>
  <si>
    <t>ORD-00208</t>
  </si>
  <si>
    <t>ORD-00626</t>
  </si>
  <si>
    <t>ORD-01401</t>
  </si>
  <si>
    <t>ORD-00489</t>
  </si>
  <si>
    <t>ORD-00894</t>
  </si>
  <si>
    <t>ORD-00170</t>
  </si>
  <si>
    <t>ORD-00287</t>
  </si>
  <si>
    <t>ORD-00551</t>
  </si>
  <si>
    <t>ORD-01231</t>
  </si>
  <si>
    <t>ORD-00790</t>
  </si>
  <si>
    <t>ORD-01020</t>
  </si>
  <si>
    <t>ORD-01350</t>
  </si>
  <si>
    <t>ORD-00982</t>
  </si>
  <si>
    <t>ORD-00412</t>
  </si>
  <si>
    <t>ORD-01436</t>
  </si>
  <si>
    <t>ORD-00114</t>
  </si>
  <si>
    <t>ORD-00188</t>
  </si>
  <si>
    <t>ORD-00809</t>
  </si>
  <si>
    <t>ORD-00147</t>
  </si>
  <si>
    <t>ORD-00299</t>
  </si>
  <si>
    <t>ORD-00748</t>
  </si>
  <si>
    <t>ORD-01030</t>
  </si>
  <si>
    <t>ORD-00453</t>
  </si>
  <si>
    <t>ORD-01095</t>
  </si>
  <si>
    <t>ORD-00533</t>
  </si>
  <si>
    <t>ORD-00979</t>
  </si>
  <si>
    <t>ORD-01324</t>
  </si>
  <si>
    <t>ORD-00944</t>
  </si>
  <si>
    <t>ORD-01123</t>
  </si>
  <si>
    <t>ORD-01016</t>
  </si>
  <si>
    <t>ORD-01398</t>
  </si>
  <si>
    <t>ORD-00656</t>
  </si>
  <si>
    <t>ORD-01297</t>
  </si>
  <si>
    <t>ORD-01360</t>
  </si>
  <si>
    <t>ORD-00518</t>
  </si>
  <si>
    <t>ORD-00447</t>
  </si>
  <si>
    <t>ORD-00691</t>
  </si>
  <si>
    <t>ORD-00273</t>
  </si>
  <si>
    <t>ORD-00569</t>
  </si>
  <si>
    <t>ORD-00943</t>
  </si>
  <si>
    <t>ORD-00509</t>
  </si>
  <si>
    <t>ORD-00143</t>
  </si>
  <si>
    <t>ORD-01325</t>
  </si>
  <si>
    <t>ORD-01342</t>
  </si>
  <si>
    <t>ORD-00876</t>
  </si>
  <si>
    <t>ORD-00254</t>
  </si>
  <si>
    <t>ORD-00650</t>
  </si>
  <si>
    <t>ORD-00010</t>
  </si>
  <si>
    <t>ORD-01170</t>
  </si>
  <si>
    <t>ORD-01130</t>
  </si>
  <si>
    <t>ORD-00316</t>
  </si>
  <si>
    <t>ORD-00582</t>
  </si>
  <si>
    <t>ORD-00211</t>
  </si>
  <si>
    <t>ORD-01028</t>
  </si>
  <si>
    <t>ORD-00445</t>
  </si>
  <si>
    <t>ORD-01008</t>
  </si>
  <si>
    <t>ORD-00330</t>
  </si>
  <si>
    <t>ORD-00659</t>
  </si>
  <si>
    <t>ORD-01129</t>
  </si>
  <si>
    <t>ORD-01012</t>
  </si>
  <si>
    <t>ORD-00168</t>
  </si>
  <si>
    <t>ORD-01404</t>
  </si>
  <si>
    <t>ORD-00178</t>
  </si>
  <si>
    <t>ORD-00919</t>
  </si>
  <si>
    <t>ORD-01015</t>
  </si>
  <si>
    <t>ORD-01081</t>
  </si>
  <si>
    <t>ORD-00022</t>
  </si>
  <si>
    <t>ORD-01223</t>
  </si>
  <si>
    <t>ORD-00770</t>
  </si>
  <si>
    <t>ORD-01083</t>
  </si>
  <si>
    <t>ORD-00595</t>
  </si>
  <si>
    <t>ORD-01332</t>
  </si>
  <si>
    <t>ORD-00228</t>
  </si>
  <si>
    <t>ORD-00728</t>
  </si>
  <si>
    <t>ORD-00019</t>
  </si>
  <si>
    <t>ORD-00544</t>
  </si>
  <si>
    <t>ORD-01389</t>
  </si>
  <si>
    <t>ORD-00435</t>
  </si>
  <si>
    <t>ORD-00933</t>
  </si>
  <si>
    <t>ORD-00968</t>
  </si>
  <si>
    <t>ORD-00242</t>
  </si>
  <si>
    <t>ORD-00629</t>
  </si>
  <si>
    <t>ORD-00942</t>
  </si>
  <si>
    <t>ORD-00472</t>
  </si>
  <si>
    <t>ORD-01207</t>
  </si>
  <si>
    <t>ORD-00081</t>
  </si>
  <si>
    <t>ORD-01212</t>
  </si>
  <si>
    <t>ORD-01256</t>
  </si>
  <si>
    <t>ORD-00912</t>
  </si>
  <si>
    <t>ORD-01431</t>
  </si>
  <si>
    <t>ORD-00142</t>
  </si>
  <si>
    <t>ORD-00882</t>
  </si>
  <si>
    <t>ORD-00458</t>
  </si>
  <si>
    <t>ORD-01085</t>
  </si>
  <si>
    <t>ORD-01216</t>
  </si>
  <si>
    <t>ORD-01221</t>
  </si>
  <si>
    <t>ORD-00906</t>
  </si>
  <si>
    <t>ORD-00112</t>
  </si>
  <si>
    <t>ORD-00726</t>
  </si>
  <si>
    <t>ORD-01073</t>
  </si>
  <si>
    <t>ORD-00158</t>
  </si>
  <si>
    <t>ORD-00115</t>
  </si>
  <si>
    <t>ORD-00204</t>
  </si>
  <si>
    <t>ORD-00376</t>
  </si>
  <si>
    <t>ORD-00446</t>
  </si>
  <si>
    <t>ORD-01018</t>
  </si>
  <si>
    <t>ORD-01019</t>
  </si>
  <si>
    <t>ORD-01236</t>
  </si>
  <si>
    <t>ORD-00413</t>
  </si>
  <si>
    <t>ORD-00925</t>
  </si>
  <si>
    <t>ORD-00247</t>
  </si>
  <si>
    <t>ORD-00380</t>
  </si>
  <si>
    <t>ORD-00455</t>
  </si>
  <si>
    <t>ORD-00476</t>
  </si>
  <si>
    <t>ORD-00891</t>
  </si>
  <si>
    <t>ORD-01210</t>
  </si>
  <si>
    <t>ORD-01387</t>
  </si>
  <si>
    <t>ORD-01178</t>
  </si>
  <si>
    <t>ORD-00187</t>
  </si>
  <si>
    <t>ORD-01234</t>
  </si>
  <si>
    <t>ORD-00224</t>
  </si>
  <si>
    <t>ORD-00751</t>
  </si>
  <si>
    <t>ORD-00922</t>
  </si>
  <si>
    <t>ORD-00031</t>
  </si>
  <si>
    <t>ORD-00213</t>
  </si>
  <si>
    <t>ORD-01040</t>
  </si>
  <si>
    <t>ORD-00256</t>
  </si>
  <si>
    <t>ORD-00223</t>
  </si>
  <si>
    <t>ORD-00327</t>
  </si>
  <si>
    <t>ORD-01034</t>
  </si>
  <si>
    <t>ORD-00317</t>
  </si>
  <si>
    <t>ORD-00621</t>
  </si>
  <si>
    <t>ORD-00730</t>
  </si>
  <si>
    <t>ORD-00253</t>
  </si>
  <si>
    <t>ORD-00261</t>
  </si>
  <si>
    <t>ORD-01287</t>
  </si>
  <si>
    <t>ORD-00313</t>
  </si>
  <si>
    <t>ORD-00831</t>
  </si>
  <si>
    <t>ORD-00162</t>
  </si>
  <si>
    <t>ORD-00720</t>
  </si>
  <si>
    <t>ORD-01150</t>
  </si>
  <si>
    <t>ORD-01159</t>
  </si>
  <si>
    <t>ORD-00179</t>
  </si>
  <si>
    <t>ORD-00062</t>
  </si>
  <si>
    <t>ORD-00682</t>
  </si>
  <si>
    <t>ORD-00993</t>
  </si>
  <si>
    <t>ORD-01288</t>
  </si>
  <si>
    <t>ORD-00830</t>
  </si>
  <si>
    <t>ORD-01354</t>
  </si>
  <si>
    <t>ORD-00340</t>
  </si>
  <si>
    <t>ORD-01270</t>
  </si>
  <si>
    <t>ORD-00920</t>
  </si>
  <si>
    <t>ORD-01149</t>
  </si>
  <si>
    <t>ORD-00366</t>
  </si>
  <si>
    <t>ORD-00557</t>
  </si>
  <si>
    <t>ORD-01105</t>
  </si>
  <si>
    <t>ORD-00857</t>
  </si>
  <si>
    <t>ORD-00077</t>
  </si>
  <si>
    <t>ORD-00526</t>
  </si>
  <si>
    <t>ORD-00928</t>
  </si>
  <si>
    <t>ORD-01121</t>
  </si>
  <si>
    <t>ORD-01428</t>
  </si>
  <si>
    <t>ORD-00084</t>
  </si>
  <si>
    <t>ORD-00835</t>
  </si>
  <si>
    <t>ORD-00734</t>
  </si>
  <si>
    <t>ORD-00855</t>
  </si>
  <si>
    <t>ORD-01358</t>
  </si>
  <si>
    <t>ORD-00991</t>
  </si>
  <si>
    <t>ORD-00863</t>
  </si>
  <si>
    <t>ORD-01432</t>
  </si>
  <si>
    <t>ORD-00238</t>
  </si>
  <si>
    <t>ORD-01103</t>
  </si>
  <si>
    <t>ORD-01232</t>
  </si>
  <si>
    <t>ORD-00658</t>
  </si>
  <si>
    <t>ORD-00864</t>
  </si>
  <si>
    <t>ORD-01425</t>
  </si>
  <si>
    <t>ORD-00240</t>
  </si>
  <si>
    <t>ORD-00341</t>
  </si>
  <si>
    <t>ORD-00655</t>
  </si>
  <si>
    <t>ORD-00209</t>
  </si>
  <si>
    <t>ORD-00769</t>
  </si>
  <si>
    <t>ORD-01392</t>
  </si>
  <si>
    <t>ORD-00291</t>
  </si>
  <si>
    <t>ORD-00802</t>
  </si>
  <si>
    <t>ORD-00471</t>
  </si>
  <si>
    <t>ORD-00578</t>
  </si>
  <si>
    <t>ORD-01238</t>
  </si>
  <si>
    <t>ORD-01336</t>
  </si>
  <si>
    <t>ORD-01355</t>
  </si>
  <si>
    <t>ORD-00221</t>
  </si>
  <si>
    <t>ORD-00975</t>
  </si>
  <si>
    <t>ORD-01293</t>
  </si>
  <si>
    <t>ORD-00310</t>
  </si>
  <si>
    <t>ORD-00404</t>
  </si>
  <si>
    <t>ORD-00627</t>
  </si>
  <si>
    <t>ORD-00786</t>
  </si>
  <si>
    <t>ORD-00798</t>
  </si>
  <si>
    <t>ORD-01286</t>
  </si>
  <si>
    <t>ORD-01338</t>
  </si>
  <si>
    <t>ORD-00090</t>
  </si>
  <si>
    <t>ORD-00417</t>
  </si>
  <si>
    <t>ORD-00811</t>
  </si>
  <si>
    <t>ORD-01165</t>
  </si>
  <si>
    <t>ORD-00331</t>
  </si>
  <si>
    <t>ORD-00346</t>
  </si>
  <si>
    <t>ORD-00950</t>
  </si>
  <si>
    <t>ORD-01171</t>
  </si>
  <si>
    <t>ORD-00422</t>
  </si>
  <si>
    <t>ORD-00514</t>
  </si>
  <si>
    <t>ORD-00791</t>
  </si>
  <si>
    <t>ORD-01299</t>
  </si>
  <si>
    <t>ORD-01169</t>
  </si>
  <si>
    <t>ORD-01185</t>
  </si>
  <si>
    <t>ORD-01268</t>
  </si>
  <si>
    <t>ORD-01438</t>
  </si>
  <si>
    <t>ORD-01449</t>
  </si>
  <si>
    <t>ORD-01109</t>
  </si>
  <si>
    <t>ORD-01175</t>
  </si>
  <si>
    <t>ORD-00138</t>
  </si>
  <si>
    <t>ORD-01225</t>
  </si>
  <si>
    <t>ORD-01252</t>
  </si>
  <si>
    <t>ORD-00668</t>
  </si>
  <si>
    <t>ORD-01032</t>
  </si>
  <si>
    <t>ORD-01302</t>
  </si>
  <si>
    <t>ORD-01386</t>
  </si>
  <si>
    <t>ORD-00867</t>
  </si>
  <si>
    <t>ORD-01217</t>
  </si>
  <si>
    <t>ORD-01289</t>
  </si>
  <si>
    <t>ORD-00788</t>
  </si>
  <si>
    <t>ORD-00738</t>
  </si>
  <si>
    <t>ORD-01183</t>
  </si>
  <si>
    <t>ORD-01024</t>
  </si>
  <si>
    <t>ORD-01079</t>
  </si>
  <si>
    <t>ORD-01378</t>
  </si>
  <si>
    <t>ORD-00059</t>
  </si>
  <si>
    <t>ORD-00124</t>
  </si>
  <si>
    <t>ORD-01247</t>
  </si>
  <si>
    <t>ORD-00776</t>
  </si>
  <si>
    <t>ORD-00351</t>
  </si>
  <si>
    <t>ORD-00744</t>
  </si>
  <si>
    <t>ORD-00255</t>
  </si>
  <si>
    <t>ORD-00414</t>
  </si>
  <si>
    <t>ORD-00749</t>
  </si>
  <si>
    <t>ORD-01043</t>
  </si>
  <si>
    <t>ORD-00386</t>
  </si>
  <si>
    <t>ORD-00628</t>
  </si>
  <si>
    <t>ORD-01406</t>
  </si>
  <si>
    <t>ORD-00761</t>
  </si>
  <si>
    <t>ORD-01371</t>
  </si>
  <si>
    <t>ORD-00385</t>
  </si>
  <si>
    <t>ORD-00718</t>
  </si>
  <si>
    <t>ORD-00232</t>
  </si>
  <si>
    <t>ORD-00473</t>
  </si>
  <si>
    <t>ORD-01050</t>
  </si>
  <si>
    <t>ORD-01359</t>
  </si>
  <si>
    <t>ORD-00677</t>
  </si>
  <si>
    <t>ORD-01211</t>
  </si>
  <si>
    <t>ORD-00850</t>
  </si>
  <si>
    <t>ORD-00037</t>
  </si>
  <si>
    <t>ORD-00056</t>
  </si>
  <si>
    <t>ORD-00362</t>
  </si>
  <si>
    <t>ORD-00480</t>
  </si>
  <si>
    <t>ORD-01417</t>
  </si>
  <si>
    <t>ORD-00440</t>
  </si>
  <si>
    <t>ORD-00550</t>
  </si>
  <si>
    <t>ORD-01049</t>
  </si>
  <si>
    <t>ORD-00612</t>
  </si>
  <si>
    <t>ORD-00623</t>
  </si>
  <si>
    <t>ORD-00731</t>
  </si>
  <si>
    <t>ORD-01339</t>
  </si>
  <si>
    <t>ORD-01419</t>
  </si>
  <si>
    <t>ORD-00955</t>
  </si>
  <si>
    <t>ORD-00640</t>
  </si>
  <si>
    <t>ORD-01393</t>
  </si>
  <si>
    <t>ORD-00562</t>
  </si>
  <si>
    <t>ORD-00520</t>
  </si>
  <si>
    <t>ORD-01275</t>
  </si>
  <si>
    <t>ORD-00058</t>
  </si>
  <si>
    <t>ORD-01254</t>
  </si>
  <si>
    <t>ORD-01422</t>
  </si>
  <si>
    <t>ORD-00301</t>
  </si>
  <si>
    <t>ORD-00309</t>
  </si>
  <si>
    <t>ORD-00852</t>
  </si>
  <si>
    <t>ORD-00865</t>
  </si>
  <si>
    <t>ORD-01042</t>
  </si>
  <si>
    <t>ORD-01182</t>
  </si>
  <si>
    <t>ORD-00176</t>
  </si>
  <si>
    <t>ORD-00371</t>
  </si>
  <si>
    <t>ORD-00885</t>
  </si>
  <si>
    <t>ORD-00992</t>
  </si>
  <si>
    <t>ORD-00125</t>
  </si>
  <si>
    <t>ORD-00948</t>
  </si>
  <si>
    <t>ORD-00511</t>
  </si>
  <si>
    <t>ORD-00823</t>
  </si>
  <si>
    <t>ORD-00513</t>
  </si>
  <si>
    <t>ORD-00343</t>
  </si>
  <si>
    <t>ORD-01305</t>
  </si>
  <si>
    <t>ORD-01374</t>
  </si>
  <si>
    <t>ORD-00323</t>
  </si>
  <si>
    <t>ORD-00600</t>
  </si>
  <si>
    <t>ORD-00075</t>
  </si>
  <si>
    <t>ORD-01385</t>
  </si>
  <si>
    <t>ORD-00028</t>
  </si>
  <si>
    <t>ORD-00132</t>
  </si>
  <si>
    <t>ORD-00806</t>
  </si>
  <si>
    <t>ORD-00939</t>
  </si>
  <si>
    <t>ORD-00641</t>
  </si>
  <si>
    <t>ORD-00700</t>
  </si>
  <si>
    <t>ORD-01027</t>
  </si>
  <si>
    <t>ORD-01112</t>
  </si>
  <si>
    <t>ORD-00487</t>
  </si>
  <si>
    <t>ORD-00347</t>
  </si>
  <si>
    <t>ORD-00647</t>
  </si>
  <si>
    <t>ORD-00466</t>
  </si>
  <si>
    <t>ORD-01029</t>
  </si>
  <si>
    <t>ORD-00556</t>
  </si>
  <si>
    <t>ORD-00577</t>
  </si>
  <si>
    <t>ORD-01318</t>
  </si>
  <si>
    <t>ORD-01319</t>
  </si>
  <si>
    <t>ORD-01004</t>
  </si>
  <si>
    <t>ORD-00160</t>
  </si>
  <si>
    <t>ORD-01333</t>
  </si>
  <si>
    <t>ORD-01412</t>
  </si>
  <si>
    <t>ORD-00699</t>
  </si>
  <si>
    <t>ORD-00619</t>
  </si>
  <si>
    <t>ORD-00901</t>
  </si>
  <si>
    <t>ORD-00073</t>
  </si>
  <si>
    <t>ORD-01168</t>
  </si>
  <si>
    <t>ORD-01391</t>
  </si>
  <si>
    <t>ORD-00201</t>
  </si>
  <si>
    <t>ORD-00235</t>
  </si>
  <si>
    <t>ORD-00360</t>
  </si>
  <si>
    <t>ORD-00436</t>
  </si>
  <si>
    <t>ORD-00356</t>
  </si>
  <si>
    <t>ORD-00970</t>
  </si>
  <si>
    <t>ORD-00421</t>
  </si>
  <si>
    <t>ORD-00437</t>
  </si>
  <si>
    <t>ORD-01205</t>
  </si>
  <si>
    <t>ORD-00011</t>
  </si>
  <si>
    <t>ORD-00284</t>
  </si>
  <si>
    <t>ORD-00716</t>
  </si>
  <si>
    <t>ORD-01447</t>
  </si>
  <si>
    <t>ORD-00175</t>
  </si>
  <si>
    <t>ORD-00044</t>
  </si>
  <si>
    <t>ORD-00164</t>
  </si>
  <si>
    <t>ORD-00661</t>
  </si>
  <si>
    <t>ORD-00866</t>
  </si>
  <si>
    <t>ORD-01056</t>
  </si>
  <si>
    <t>ORD-01321</t>
  </si>
  <si>
    <t>ORD-00880</t>
  </si>
  <si>
    <t>ORD-00611</t>
  </si>
  <si>
    <t>ORD-01075</t>
  </si>
  <si>
    <t>ORD-01197</t>
  </si>
  <si>
    <t>ORD-01037</t>
  </si>
  <si>
    <t>ORD-01153</t>
  </si>
  <si>
    <t>ORD-01132</t>
  </si>
  <si>
    <t>ORD-01206</t>
  </si>
  <si>
    <t>ORD-01388</t>
  </si>
  <si>
    <t>ORD-00086</t>
  </si>
  <si>
    <t>ORD-00396</t>
  </si>
  <si>
    <t>ORD-00838</t>
  </si>
  <si>
    <t>ORD-00384</t>
  </si>
  <si>
    <t>ORD-00481</t>
  </si>
  <si>
    <t>ORD-00989</t>
  </si>
  <si>
    <t>ORD-00244</t>
  </si>
  <si>
    <t>ORD-00329</t>
  </si>
  <si>
    <t>ORD-00573</t>
  </si>
  <si>
    <t>ORD-00113</t>
  </si>
  <si>
    <t>ORD-00353</t>
  </si>
  <si>
    <t>ORD-00488</t>
  </si>
  <si>
    <t>ORD-00558</t>
  </si>
  <si>
    <t>ORD-01400</t>
  </si>
  <si>
    <t>ORD-00586</t>
  </si>
  <si>
    <t>ORD-00904</t>
  </si>
  <si>
    <t>ORD-00207</t>
  </si>
  <si>
    <t>ORD-00663</t>
  </si>
  <si>
    <t>ORD-00916</t>
  </si>
  <si>
    <t>ORD-00123</t>
  </si>
  <si>
    <t>ORD-00159</t>
  </si>
  <si>
    <t>ORD-00150</t>
  </si>
  <si>
    <t>ORD-01209</t>
  </si>
  <si>
    <t>ORD-00182</t>
  </si>
  <si>
    <t>ORD-01330</t>
  </si>
  <si>
    <t>ORD-00438</t>
  </si>
  <si>
    <t>ORD-00530</t>
  </si>
  <si>
    <t>ORD-01179</t>
  </si>
  <si>
    <t>ORD-00696</t>
  </si>
  <si>
    <t>ORD-01411</t>
  </si>
  <si>
    <t>ORD-00054</t>
  </si>
  <si>
    <t>ORD-00334</t>
  </si>
  <si>
    <t>ORD-00959</t>
  </si>
  <si>
    <t>ORD-00732</t>
  </si>
  <si>
    <t>ORD-00040</t>
  </si>
  <si>
    <t>ORD-00130</t>
  </si>
  <si>
    <t>ORD-00964</t>
  </si>
  <si>
    <t>ORD-00065</t>
  </si>
  <si>
    <t>ORD-00137</t>
  </si>
  <si>
    <t>ORD-01173</t>
  </si>
  <si>
    <t>ORD-01369</t>
  </si>
  <si>
    <t>ORD-01375</t>
  </si>
  <si>
    <t>ORD-00120</t>
  </si>
  <si>
    <t>ORD-00152</t>
  </si>
  <si>
    <t>ORD-00407</t>
  </si>
  <si>
    <t>ORD-00172</t>
  </si>
  <si>
    <t>ORD-00705</t>
  </si>
  <si>
    <t>ORD-00308</t>
  </si>
  <si>
    <t>ORD-00634</t>
  </si>
  <si>
    <t>ORD-01133</t>
  </si>
  <si>
    <t>ORD-00230</t>
  </si>
  <si>
    <t>ORD-00233</t>
  </si>
  <si>
    <t>ORD-01340</t>
  </si>
  <si>
    <t>ORD-01367</t>
  </si>
  <si>
    <t>ORD-00636</t>
  </si>
  <si>
    <t>ORD-00328</t>
  </si>
  <si>
    <t>ORD-01177</t>
  </si>
  <si>
    <t>ORD-01372</t>
  </si>
  <si>
    <t>ORD-00034</t>
  </si>
  <si>
    <t>ORD-01322</t>
  </si>
  <si>
    <t>ORD-01403</t>
  </si>
  <si>
    <t>ORD-00571</t>
  </si>
  <si>
    <t>ORD-00869</t>
  </si>
  <si>
    <t>ORD-00952</t>
  </si>
  <si>
    <t>ORD-00015</t>
  </si>
  <si>
    <t>ORD-00074</t>
  </si>
  <si>
    <t>ORD-00987</t>
  </si>
  <si>
    <t>ORD-01353</t>
  </si>
  <si>
    <t>ORD-00803</t>
  </si>
  <si>
    <t>ORD-00267</t>
  </si>
  <si>
    <t>ORD-00357</t>
  </si>
  <si>
    <t>ORD-00495</t>
  </si>
  <si>
    <t>ORD-00789</t>
  </si>
  <si>
    <t>ORD-01065</t>
  </si>
  <si>
    <t>ORD-00780</t>
  </si>
  <si>
    <t>ORD-00701</t>
  </si>
  <si>
    <t>ORD-01420</t>
  </si>
  <si>
    <t>ORD-00537</t>
  </si>
  <si>
    <t>ORD-00614</t>
  </si>
  <si>
    <t>ORD-00088</t>
  </si>
  <si>
    <t>ORD-00389</t>
  </si>
  <si>
    <t>ORD-00862</t>
  </si>
  <si>
    <t>ORD-00359</t>
  </si>
  <si>
    <t>ORD-00688</t>
  </si>
  <si>
    <t>ORD-00368</t>
  </si>
  <si>
    <t>ORD-00931</t>
  </si>
  <si>
    <t>ORD-01281</t>
  </si>
  <si>
    <t>ORD-01427</t>
  </si>
  <si>
    <t>ORD-01118</t>
  </si>
  <si>
    <t>ORD-00420</t>
  </si>
  <si>
    <t>ORD-01416</t>
  </si>
  <si>
    <t>ORD-01191</t>
  </si>
  <si>
    <t>ORD-00141</t>
  </si>
  <si>
    <t>ORD-00017</t>
  </si>
  <si>
    <t>ORD-01138</t>
  </si>
  <si>
    <t>ORD-00314</t>
  </si>
  <si>
    <t>ORD-01057</t>
  </si>
  <si>
    <t>ORD-01331</t>
  </si>
  <si>
    <t>ORD-00038</t>
  </si>
  <si>
    <t>ORD-00723</t>
  </si>
  <si>
    <t>ORD-00753</t>
  </si>
  <si>
    <t>ORD-00825</t>
  </si>
  <si>
    <t>ORD-00339</t>
  </si>
  <si>
    <t>ORD-01148</t>
  </si>
  <si>
    <t>ORD-00983</t>
  </si>
  <si>
    <t>ORD-01245</t>
  </si>
  <si>
    <t>ORD-00338</t>
  </si>
  <si>
    <t>ORD-01142</t>
  </si>
  <si>
    <t>ORD-00449</t>
  </si>
  <si>
    <t>ORD-01163</t>
  </si>
  <si>
    <t>ORD-00293</t>
  </si>
  <si>
    <t>ORD-00554</t>
  </si>
  <si>
    <t>ORD-01265</t>
  </si>
  <si>
    <t>ORD-01290</t>
  </si>
  <si>
    <t>ORD-00216</t>
  </si>
  <si>
    <t>ORD-00126</t>
  </si>
  <si>
    <t>ORD-00548</t>
  </si>
  <si>
    <t>ORD-01273</t>
  </si>
  <si>
    <t>ORD-00451</t>
  </si>
  <si>
    <t>ORD-00836</t>
  </si>
  <si>
    <t>ORD-00859</t>
  </si>
  <si>
    <t>ORD-00409</t>
  </si>
  <si>
    <t>ORD-00087</t>
  </si>
  <si>
    <t>ORD-00383</t>
  </si>
  <si>
    <t>ORD-00549</t>
  </si>
  <si>
    <t>ORD-00646</t>
  </si>
  <si>
    <t>ORD-01202</t>
  </si>
  <si>
    <t>ORD-01070</t>
  </si>
  <si>
    <t>ORD-01126</t>
  </si>
  <si>
    <t>ORD-00036</t>
  </si>
  <si>
    <t>ORD-00397</t>
  </si>
  <si>
    <t>ORD-00083</t>
  </si>
  <si>
    <t>ORD-00367</t>
  </si>
  <si>
    <t>ORD-00411</t>
  </si>
  <si>
    <t>ORD-01022</t>
  </si>
  <si>
    <t>ORD-00118</t>
  </si>
  <si>
    <t>ORD-00815</t>
  </si>
  <si>
    <t>ORD-01134</t>
  </si>
  <si>
    <t>ORD-00618</t>
  </si>
  <si>
    <t>ORD-01241</t>
  </si>
  <si>
    <t>ORD-00808</t>
  </si>
  <si>
    <t>ORD-01127</t>
  </si>
  <si>
    <t>ORD-00452</t>
  </si>
  <si>
    <t>ORD-00593</t>
  </si>
  <si>
    <t>ORD-01147</t>
  </si>
  <si>
    <t>ORD-00978</t>
  </si>
  <si>
    <t>ORD-00171</t>
  </si>
  <si>
    <t>ORD-00485</t>
  </si>
  <si>
    <t>ORD-00678</t>
  </si>
  <si>
    <t>ORD-01094</t>
  </si>
  <si>
    <t>ORD-01418</t>
  </si>
  <si>
    <t>ORD-00239</t>
  </si>
  <si>
    <t>ORD-01058</t>
  </si>
  <si>
    <t>ORD-00461</t>
  </si>
  <si>
    <t>ORD-00434</t>
  </si>
  <si>
    <t>ORD-00805</t>
  </si>
  <si>
    <t>ORD-01017</t>
  </si>
  <si>
    <t>ORD-00895</t>
  </si>
  <si>
    <t>ORD-01246</t>
  </si>
  <si>
    <t>ORD-01255</t>
  </si>
  <si>
    <t>ORD-00332</t>
  </si>
  <si>
    <t>ORD-00632</t>
  </si>
  <si>
    <t>ORD-00804</t>
  </si>
  <si>
    <t>ORD-00902</t>
  </si>
  <si>
    <t>ORD-01045</t>
  </si>
  <si>
    <t>ORD-01435</t>
  </si>
  <si>
    <t>ORD-00620</t>
  </si>
  <si>
    <t>ORD-00575</t>
  </si>
  <si>
    <t>ORD-00016</t>
  </si>
  <si>
    <t>ORD-00684</t>
  </si>
  <si>
    <t>ORD-01162</t>
  </si>
  <si>
    <t>ORD-01434</t>
  </si>
  <si>
    <t>ORD-00060</t>
  </si>
  <si>
    <t>ORD-00355</t>
  </si>
  <si>
    <t>ORD-00387</t>
  </si>
  <si>
    <t>ORD-00972</t>
  </si>
  <si>
    <t>ORD-00908</t>
  </si>
  <si>
    <t>ORD-01278</t>
  </si>
  <si>
    <t>ORD-00833</t>
  </si>
  <si>
    <t>ORD-01258</t>
  </si>
  <si>
    <t>ORD-01320</t>
  </si>
  <si>
    <t>ORD-00190</t>
  </si>
  <si>
    <t>ORD-00536</t>
  </si>
  <si>
    <t>ORD-01076</t>
  </si>
  <si>
    <t>ORD-00222</t>
  </si>
  <si>
    <t>ORD-00510</t>
  </si>
  <si>
    <t>ORD-01158</t>
  </si>
  <si>
    <t>ORD-01088</t>
  </si>
  <si>
    <t>ORD-01437</t>
  </si>
  <si>
    <t>ORD-00868</t>
  </si>
  <si>
    <t>ORD-01271</t>
  </si>
  <si>
    <t>ORD-00375</t>
  </si>
  <si>
    <t>ORD-01092</t>
  </si>
  <si>
    <t>ORD-00905</t>
  </si>
  <si>
    <t>ORD-01382</t>
  </si>
  <si>
    <t>ORD-00666</t>
  </si>
  <si>
    <t>ORD-00927</t>
  </si>
  <si>
    <t>ORD-00496</t>
  </si>
  <si>
    <t>ORD-01346</t>
  </si>
  <si>
    <t>ORD-00538</t>
  </si>
  <si>
    <t>ORD-01051</t>
  </si>
  <si>
    <t>ORD-00456</t>
  </si>
  <si>
    <t>ORD-00350</t>
  </si>
  <si>
    <t>ORD-01450</t>
  </si>
  <si>
    <t>ORD-01119</t>
  </si>
  <si>
    <t>ORD-00851</t>
  </si>
  <si>
    <t>ORD-00994</t>
  </si>
  <si>
    <t>ORD-00078</t>
  </si>
  <si>
    <t>ORD-00938</t>
  </si>
  <si>
    <t>ORD-00746</t>
  </si>
  <si>
    <t>ORD-01053</t>
  </si>
  <si>
    <t>ORD-01274</t>
  </si>
  <si>
    <t>ORD-01096</t>
  </si>
  <si>
    <t>ORD-00807</t>
  </si>
  <si>
    <t>ORD-00954</t>
  </si>
  <si>
    <t>ORD-00502</t>
  </si>
  <si>
    <t>ORD-00542</t>
  </si>
  <si>
    <t>ORD-00596</t>
  </si>
  <si>
    <t>ORD-00522</t>
  </si>
  <si>
    <t>ORD-01244</t>
  </si>
  <si>
    <t>ORD-00399</t>
  </si>
  <si>
    <t>ORD-00369</t>
  </si>
  <si>
    <t>ORD-00416</t>
  </si>
  <si>
    <t>ORD-00547</t>
  </si>
  <si>
    <t>ORD-00820</t>
  </si>
  <si>
    <t>ORD-00063</t>
  </si>
  <si>
    <t>ORD-00679</t>
  </si>
  <si>
    <t>ORD-00929</t>
  </si>
  <si>
    <t>ORD-01131</t>
  </si>
  <si>
    <t>ORD-00555</t>
  </si>
  <si>
    <t>ORD-00842</t>
  </si>
  <si>
    <t>ORD-01343</t>
  </si>
  <si>
    <t>ORD-00241</t>
  </si>
  <si>
    <t>ORD-01074</t>
  </si>
  <si>
    <t>ORD-00665</t>
  </si>
  <si>
    <t>ORD-00736</t>
  </si>
  <si>
    <t>ORD-01026</t>
  </si>
  <si>
    <t>ORD-00706</t>
  </si>
  <si>
    <t>ORD-01292</t>
  </si>
  <si>
    <t>ORD-00403</t>
  </si>
  <si>
    <t>ORD-00579</t>
  </si>
  <si>
    <t>ORD-00499</t>
  </si>
  <si>
    <t>ORD-00419</t>
  </si>
  <si>
    <t>ORD-00687</t>
  </si>
  <si>
    <t>ORD-00306</t>
  </si>
  <si>
    <t>ORD-00799</t>
  </si>
  <si>
    <t>ORD-00005</t>
  </si>
  <si>
    <t>ORD-01226</t>
  </si>
  <si>
    <t>ORD-00266</t>
  </si>
  <si>
    <t>ORD-00474</t>
  </si>
  <si>
    <t>ORD-01098</t>
  </si>
  <si>
    <t>ORD-01110</t>
  </si>
  <si>
    <t>ORD-00426</t>
  </si>
  <si>
    <t>ORD-00719</t>
  </si>
  <si>
    <t>ORD-01306</t>
  </si>
  <si>
    <t>ORD-00592</t>
  </si>
  <si>
    <t>ORD-00012</t>
  </si>
  <si>
    <t>ORD-00318</t>
  </si>
  <si>
    <t>ORD-00576</t>
  </si>
  <si>
    <t>ORD-00122</t>
  </si>
  <si>
    <t>ORD-00759</t>
  </si>
  <si>
    <t>ORD-01146</t>
  </si>
  <si>
    <t>ORD-00692</t>
  </si>
  <si>
    <t>ORD-00924</t>
  </si>
  <si>
    <t>ORD-00648</t>
  </si>
  <si>
    <t>ORD-00984</t>
  </si>
  <si>
    <t>ORD-00001</t>
  </si>
  <si>
    <t>ORD-01014</t>
  </si>
  <si>
    <t>ORD-01061</t>
  </si>
  <si>
    <t>ORD-00871</t>
  </si>
  <si>
    <t>ORD-01415</t>
  </si>
  <si>
    <t>ORD-01067</t>
  </si>
  <si>
    <t>ORD-01243</t>
  </si>
  <si>
    <t>ORD-00093</t>
  </si>
  <si>
    <t>ORD-00712</t>
  </si>
  <si>
    <t>ORD-00756</t>
  </si>
  <si>
    <t>ORD-01006</t>
  </si>
  <si>
    <t>ORD-00197</t>
  </si>
  <si>
    <t>ORD-00508</t>
  </si>
  <si>
    <t>ORD-00685</t>
  </si>
  <si>
    <t>ORD-00226</t>
  </si>
  <si>
    <t>ORD-00459</t>
  </si>
  <si>
    <t>ORD-00365</t>
  </si>
  <si>
    <t>ORD-00276</t>
  </si>
  <si>
    <t>ORD-00475</t>
  </si>
  <si>
    <t>ORD-00003</t>
  </si>
  <si>
    <t>ORD-00721</t>
  </si>
  <si>
    <t>ORD-00373</t>
  </si>
  <si>
    <t>ORD-00887</t>
  </si>
  <si>
    <t>ORD-00023</t>
  </si>
  <si>
    <t>ORD-01108</t>
  </si>
  <si>
    <t>ORD-00045</t>
  </si>
  <si>
    <t>ORD-00108</t>
  </si>
  <si>
    <t>ORD-00813</t>
  </si>
  <si>
    <t>ORD-00860</t>
  </si>
  <si>
    <t>ORD-01214</t>
  </si>
  <si>
    <t>ORD-01084</t>
  </si>
  <si>
    <t>ORD-01323</t>
  </si>
  <si>
    <t>ORD-00856</t>
  </si>
  <si>
    <t>ORD-00092</t>
  </si>
  <si>
    <t>ORD-00349</t>
  </si>
  <si>
    <t>ORD-00892</t>
  </si>
  <si>
    <t>ORD-00980</t>
  </si>
  <si>
    <t>ORD-00111</t>
  </si>
  <si>
    <t>ORD-01180</t>
  </si>
  <si>
    <t>ORD-00390</t>
  </si>
  <si>
    <t>ORD-01161</t>
  </si>
  <si>
    <t>ORD-01248</t>
  </si>
  <si>
    <t>ORD-00258</t>
  </si>
  <si>
    <t>ORD-01327</t>
  </si>
  <si>
    <t>ORD-01414</t>
  </si>
  <si>
    <t>ORD-00783</t>
  </si>
  <si>
    <t>ORD-00792</t>
  </si>
  <si>
    <t>ORD-00268</t>
  </si>
  <si>
    <t>ORD-00333</t>
  </si>
  <si>
    <t>ORD-00918</t>
  </si>
  <si>
    <t>ORD-00824</t>
  </si>
  <si>
    <t>ORD-00052</t>
  </si>
  <si>
    <t>ORD-00234</t>
  </si>
  <si>
    <t>ORD-01071</t>
  </si>
  <si>
    <t>ORD-01364</t>
  </si>
  <si>
    <t>ORD-00494</t>
  </si>
  <si>
    <t>ORD-00165</t>
  </si>
  <si>
    <t>ORD-01326</t>
  </si>
  <si>
    <t>ORD-00381</t>
  </si>
  <si>
    <t>ORD-00279</t>
  </si>
  <si>
    <t>ORD-00478</t>
  </si>
  <si>
    <t>ORD-01145</t>
  </si>
  <si>
    <t>ORD-00109</t>
  </si>
  <si>
    <t>ORD-00958</t>
  </si>
  <si>
    <t>ORD-00483</t>
  </si>
  <si>
    <t>ORD-00763</t>
  </si>
  <si>
    <t>ORD-01315</t>
  </si>
  <si>
    <t>ORD-01430</t>
  </si>
  <si>
    <t>ORD-00262</t>
  </si>
  <si>
    <t>ORD-00061</t>
  </si>
  <si>
    <t>ORD-00104</t>
  </si>
  <si>
    <t>ORD-00900</t>
  </si>
  <si>
    <t>ORD-01038</t>
  </si>
  <si>
    <t>ORD-00486</t>
  </si>
  <si>
    <t>ORD-00345</t>
  </si>
  <si>
    <t>ORD-01002</t>
  </si>
  <si>
    <t>ORD-00517</t>
  </si>
  <si>
    <t>ORD-00713</t>
  </si>
  <si>
    <t>ORD-00598</t>
  </si>
  <si>
    <t>ORD-00953</t>
  </si>
  <si>
    <t>ORD-00946</t>
  </si>
  <si>
    <t>ORD-01267</t>
  </si>
  <si>
    <t>ORD-01311</t>
  </si>
  <si>
    <t>ORD-00793</t>
  </si>
  <si>
    <t>ORD-00637</t>
  </si>
  <si>
    <t>ORD-00649</t>
  </si>
  <si>
    <t>ORD-00840</t>
  </si>
  <si>
    <t>ORD-01167</t>
  </si>
  <si>
    <t>ORD-00737</t>
  </si>
  <si>
    <t>ORD-00889</t>
  </si>
  <si>
    <t>ORD-01328</t>
  </si>
  <si>
    <t>ORD-00149</t>
  </si>
  <si>
    <t>ORD-00702</t>
  </si>
  <si>
    <t>ORD-00423</t>
  </si>
  <si>
    <t>ORD-01264</t>
  </si>
  <si>
    <t>ORD-01396</t>
  </si>
  <si>
    <t>ORD-01399</t>
  </si>
  <si>
    <t>ORD-00727</t>
  </si>
  <si>
    <t>ORD-00653</t>
  </si>
  <si>
    <t>ORD-00249</t>
  </si>
  <si>
    <t>ORD-01194</t>
  </si>
  <si>
    <t>ORD-00185</t>
  </si>
  <si>
    <t>ORD-00531</t>
  </si>
  <si>
    <t>ORD-00050</t>
  </si>
  <si>
    <t>ORD-01099</t>
  </si>
  <si>
    <t>ORD-00097</t>
  </si>
  <si>
    <t>ORD-00361</t>
  </si>
  <si>
    <t>ORD-00689</t>
  </si>
  <si>
    <t>ORD-01010</t>
  </si>
  <si>
    <t>ORD-01144</t>
  </si>
  <si>
    <t>ORD-01160</t>
  </si>
  <si>
    <t>ORD-01405</t>
  </si>
  <si>
    <t>ORD-00909</t>
  </si>
  <si>
    <t>ORD-01114</t>
  </si>
  <si>
    <t>ORD-01155</t>
  </si>
  <si>
    <t>ORD-01219</t>
  </si>
  <si>
    <t>ORD-01423</t>
  </si>
  <si>
    <t>ORD-00103</t>
  </si>
  <si>
    <t>ORD-00275</t>
  </si>
  <si>
    <t>ORD-00372</t>
  </si>
  <si>
    <t>ORD-01309</t>
  </si>
  <si>
    <t>ORD-01181</t>
  </si>
  <si>
    <t>ORD-00500</t>
  </si>
  <si>
    <t>ORD-00119</t>
  </si>
  <si>
    <t>ORD-00493</t>
  </si>
  <si>
    <t>ORD-00638</t>
  </si>
  <si>
    <t>ORD-01196</t>
  </si>
  <si>
    <t>ORD-00468</t>
  </si>
  <si>
    <t>ORD-00497</t>
  </si>
  <si>
    <t>ORD-00543</t>
  </si>
  <si>
    <t>ORD-00762</t>
  </si>
  <si>
    <t>ORD-01104</t>
  </si>
  <si>
    <t>ORD-00181</t>
  </si>
  <si>
    <t>ORD-00218</t>
  </si>
  <si>
    <t>ORD-01307</t>
  </si>
  <si>
    <t>ORD-00913</t>
  </si>
  <si>
    <t>ORD-00053</t>
  </si>
  <si>
    <t>ORD-01174</t>
  </si>
  <si>
    <t>ORD-01157</t>
  </si>
  <si>
    <t>ORD-01230</t>
  </si>
  <si>
    <t>ORD-00101</t>
  </si>
  <si>
    <t>ORD-00588</t>
  </si>
  <si>
    <t>ORD-00673</t>
  </si>
  <si>
    <t>ORD-01347</t>
  </si>
  <si>
    <t>ORD-01390</t>
  </si>
  <si>
    <t>ORD-00337</t>
  </si>
  <si>
    <t>ORD-00524</t>
  </si>
  <si>
    <t>ORD-01128</t>
  </si>
  <si>
    <t>ORD-00767</t>
  </si>
  <si>
    <t>ORD-00127</t>
  </si>
  <si>
    <t>ORD-00394</t>
  </si>
  <si>
    <t>ORD-00278</t>
  </si>
  <si>
    <t>ORD-01122</t>
  </si>
  <si>
    <t>ORD-01224</t>
  </si>
  <si>
    <t>ORD-00042</t>
  </si>
  <si>
    <t>ORD-00085</t>
  </si>
  <si>
    <t>ORD-00057</t>
  </si>
  <si>
    <t>ORD-00335</t>
  </si>
  <si>
    <t>ORD-00151</t>
  </si>
  <si>
    <t>ORD-00874</t>
  </si>
  <si>
    <t>ORD-00998</t>
  </si>
  <si>
    <t>ORD-00018</t>
  </si>
  <si>
    <t>ORD-00515</t>
  </si>
  <si>
    <t>ORD-00203</t>
  </si>
  <si>
    <t>ORD-00280</t>
  </si>
  <si>
    <t>ORD-00324</t>
  </si>
  <si>
    <t>ORD-01188</t>
  </si>
  <si>
    <t>ORD-00348</t>
  </si>
  <si>
    <t>ORD-00740</t>
  </si>
  <si>
    <t>ORD-00886</t>
  </si>
  <si>
    <t>ORD-00457</t>
  </si>
  <si>
    <t>ORD-00289</t>
  </si>
  <si>
    <t>ORD-01000</t>
  </si>
  <si>
    <t>ORD-00482</t>
  </si>
  <si>
    <t>ORD-00504</t>
  </si>
  <si>
    <t>ORD-00545</t>
  </si>
  <si>
    <t>ORD-00429</t>
  </si>
  <si>
    <t>ORD-01402</t>
  </si>
  <si>
    <t>ORD-00787</t>
  </si>
  <si>
    <t>ORD-00981</t>
  </si>
  <si>
    <t>ORD-00364</t>
  </si>
  <si>
    <t>ORD-00697</t>
  </si>
  <si>
    <t>ORD-00996</t>
  </si>
  <si>
    <t>ORD-00664</t>
  </si>
  <si>
    <t>ORD-00069</t>
  </si>
  <si>
    <t>ORD-00180</t>
  </si>
  <si>
    <t>ORD-01240</t>
  </si>
  <si>
    <t>ORD-00107</t>
  </si>
  <si>
    <t>ORD-01035</t>
  </si>
  <si>
    <t>ORD-00212</t>
  </si>
  <si>
    <t>ORD-00183</t>
  </si>
  <si>
    <t>ORD-00567</t>
  </si>
  <si>
    <t>ORD-00395</t>
  </si>
  <si>
    <t>ORD-01329</t>
  </si>
  <si>
    <t>ORD-00603</t>
  </si>
  <si>
    <t>ORD-01141</t>
  </si>
  <si>
    <t>ORD-00765</t>
  </si>
  <si>
    <t>ORD-01257</t>
  </si>
  <si>
    <t>ORD-01262</t>
  </si>
  <si>
    <t>ORD-00405</t>
  </si>
  <si>
    <t>ORD-00512</t>
  </si>
  <si>
    <t>ORD-00439</t>
  </si>
  <si>
    <t>ORD-00741</t>
  </si>
  <si>
    <t>ORD-01135</t>
  </si>
  <si>
    <t>ORD-01193</t>
  </si>
  <si>
    <t>ORD-01409</t>
  </si>
  <si>
    <t>ORD-01242</t>
  </si>
  <si>
    <t>ORD-00775</t>
  </si>
  <si>
    <t>ORD-00967</t>
  </si>
  <si>
    <t>ORD-00552</t>
  </si>
  <si>
    <t>ORD-01314</t>
  </si>
  <si>
    <t>ORD-01041</t>
  </si>
  <si>
    <t>ORD-01376</t>
  </si>
  <si>
    <t>ORD-01421</t>
  </si>
  <si>
    <t>ORD-00067</t>
  </si>
  <si>
    <t>ORD-00585</t>
  </si>
  <si>
    <t>ORD-00957</t>
  </si>
  <si>
    <t>ORD-01198</t>
  </si>
  <si>
    <t>ORD-01408</t>
  </si>
  <si>
    <t>ORD-00764</t>
  </si>
  <si>
    <t>ORD-00430</t>
  </si>
  <si>
    <t>ORD-00795</t>
  </si>
  <si>
    <t>ORD-00773</t>
  </si>
  <si>
    <t>ORD-00572</t>
  </si>
  <si>
    <t>ORD-01308</t>
  </si>
  <si>
    <t>ORD-00105</t>
  </si>
  <si>
    <t>ORD-00027</t>
  </si>
  <si>
    <t>ORD-00854</t>
  </si>
  <si>
    <t>ORD-00029</t>
  </si>
  <si>
    <t>ORD-00344</t>
  </si>
  <si>
    <t>ORD-01310</t>
  </si>
  <si>
    <t>ORD-01156</t>
  </si>
  <si>
    <t>ORD-00227</t>
  </si>
  <si>
    <t>ORD-00660</t>
  </si>
  <si>
    <t>ORD-00698</t>
  </si>
  <si>
    <t>ORD-00878</t>
  </si>
  <si>
    <t>ORD-00714</t>
  </si>
  <si>
    <t>ORD-00607</t>
  </si>
  <si>
    <t>ORD-00715</t>
  </si>
  <si>
    <t>ORD-00771</t>
  </si>
  <si>
    <t>ORD-00969</t>
  </si>
  <si>
    <t>ORD-01215</t>
  </si>
  <si>
    <t>ORD-00760</t>
  </si>
  <si>
    <t>ORD-01237</t>
  </si>
  <si>
    <t>ORD-01361</t>
  </si>
  <si>
    <t>ORD-00014</t>
  </si>
  <si>
    <t>ORD-00391</t>
  </si>
  <si>
    <t>ORD-00091</t>
  </si>
  <si>
    <t>ORD-00342</t>
  </si>
  <si>
    <t>ORD-01366</t>
  </si>
  <si>
    <t>ORD-00594</t>
  </si>
  <si>
    <t>ORD-01082</t>
  </si>
  <si>
    <t>ORD-00645</t>
  </si>
  <si>
    <t>ORD-00917</t>
  </si>
  <si>
    <t>ORD-00754</t>
  </si>
  <si>
    <t>ORD-01298</t>
  </si>
  <si>
    <t>ORD-01443</t>
  </si>
  <si>
    <t>ORD-00635</t>
  </si>
  <si>
    <t>ORD-00936</t>
  </si>
  <si>
    <t>ORD-00049</t>
  </si>
  <si>
    <t>ORD-00161</t>
  </si>
  <si>
    <t>ORD-00940</t>
  </si>
  <si>
    <t>ORD-01116</t>
  </si>
  <si>
    <t>ORD-01033</t>
  </si>
  <si>
    <t>ORD-00270</t>
  </si>
  <si>
    <t>ORD-00282</t>
  </si>
  <si>
    <t>ORD-01395</t>
  </si>
  <si>
    <t>ORD-00071</t>
  </si>
  <si>
    <t>ORD-01005</t>
  </si>
  <si>
    <t>ORD-00890</t>
  </si>
  <si>
    <t>ORD-01260</t>
  </si>
  <si>
    <t>ORD-00148</t>
  </si>
  <si>
    <t>ORD-00146</t>
  </si>
  <si>
    <t>ORD-00973</t>
  </si>
  <si>
    <t>ORD-01111</t>
  </si>
  <si>
    <t>ORD-01345</t>
  </si>
  <si>
    <t>ORD-00528</t>
  </si>
  <si>
    <t>ORD-00670</t>
  </si>
  <si>
    <t>ORD-00135</t>
  </si>
  <si>
    <t>ORD-00708</t>
  </si>
  <si>
    <t>ORD-00281</t>
  </si>
  <si>
    <t>ORD-00986</t>
  </si>
  <si>
    <t>ORD-00591</t>
  </si>
  <si>
    <t>ORD-01300</t>
  </si>
  <si>
    <t>ORD-00717</t>
  </si>
  <si>
    <t>ORD-01139</t>
  </si>
  <si>
    <t>ORD-01316</t>
  </si>
  <si>
    <t>ORD-01283</t>
  </si>
  <si>
    <t>ORD-00200</t>
  </si>
  <si>
    <t>ORD-00191</t>
  </si>
  <si>
    <t>ORD-00460</t>
  </si>
  <si>
    <t>ORD-00354</t>
  </si>
  <si>
    <t>ORD-00875</t>
  </si>
  <si>
    <t>ORD-00433</t>
  </si>
  <si>
    <t>ORD-00156</t>
  </si>
  <si>
    <t>ORD-01296</t>
  </si>
  <si>
    <t>ORD-00128</t>
  </si>
  <si>
    <t>ORD-00302</t>
  </si>
  <si>
    <t>ORD-01063</t>
  </si>
  <si>
    <t>ORD-00565</t>
  </si>
  <si>
    <t>ORD-00681</t>
  </si>
  <si>
    <t>ORD-00822</t>
  </si>
  <si>
    <t>ORD-00898</t>
  </si>
  <si>
    <t>ORD-00757</t>
  </si>
  <si>
    <t>ORD-00960</t>
  </si>
  <si>
    <t>ORD-00198</t>
  </si>
  <si>
    <t>ORD-00250</t>
  </si>
  <si>
    <t>ORD-01013</t>
  </si>
  <si>
    <t>ORD-00651</t>
  </si>
  <si>
    <t>ORD-00100</t>
  </si>
  <si>
    <t>ORD-01218</t>
  </si>
  <si>
    <t>ORD-00694</t>
  </si>
  <si>
    <t>ORD-00431</t>
  </si>
  <si>
    <t>ORD-00642</t>
  </si>
  <si>
    <t>ORD-01031</t>
  </si>
  <si>
    <t>ORD-01365</t>
  </si>
  <si>
    <t>ORD-01433</t>
  </si>
  <si>
    <t>ORD-00574</t>
  </si>
  <si>
    <t>ORD-00847</t>
  </si>
  <si>
    <t>ORD-00758</t>
  </si>
  <si>
    <t>ORD-00220</t>
  </si>
  <si>
    <t>ORD-00263</t>
  </si>
  <si>
    <t>ORD-00163</t>
  </si>
  <si>
    <t>ORD-01424</t>
  </si>
  <si>
    <t>ORD-00424</t>
  </si>
  <si>
    <t>ORD-00155</t>
  </si>
  <si>
    <t>ORD-01189</t>
  </si>
  <si>
    <t>ORD-00307</t>
  </si>
  <si>
    <t>ORD-00432</t>
  </si>
  <si>
    <t>ORD-00639</t>
  </si>
  <si>
    <t>ORD-01208</t>
  </si>
  <si>
    <t>ORD-01282</t>
  </si>
  <si>
    <t>ORD-00195</t>
  </si>
  <si>
    <t>ORD-00710</t>
  </si>
  <si>
    <t>ORD-00246</t>
  </si>
  <si>
    <t>ORD-00096</t>
  </si>
  <si>
    <t>ORD-00322</t>
  </si>
  <si>
    <t>ORD-01263</t>
  </si>
  <si>
    <t>ORD-00810</t>
  </si>
  <si>
    <t>ORD-00443</t>
  </si>
  <si>
    <t>ORD-00601</t>
  </si>
  <si>
    <t>ORD-00450</t>
  </si>
  <si>
    <t>ORD-00643</t>
  </si>
  <si>
    <t>ORD-01091</t>
  </si>
  <si>
    <t>ORD-00290</t>
  </si>
  <si>
    <t>ORD-00298</t>
  </si>
  <si>
    <t>ORD-00796</t>
  </si>
  <si>
    <t>ORD-00853</t>
  </si>
  <si>
    <t>ORD-00094</t>
  </si>
  <si>
    <t>ORD-00505</t>
  </si>
  <si>
    <t>ORD-01222</t>
  </si>
  <si>
    <t>ORD-00768</t>
  </si>
  <si>
    <t>ORD-00102</t>
  </si>
  <si>
    <t>ORD-01440</t>
  </si>
  <si>
    <t>ORD-00911</t>
  </si>
  <si>
    <t>ORD-01166</t>
  </si>
  <si>
    <t>ORD-00030</t>
  </si>
  <si>
    <t>ORD-00174</t>
  </si>
  <si>
    <t>ORD-00839</t>
  </si>
  <si>
    <t>ORD-00145</t>
  </si>
  <si>
    <t>ORD-00167</t>
  </si>
  <si>
    <t>ORD-00388</t>
  </si>
  <si>
    <t>ORD-00903</t>
  </si>
  <si>
    <t>ORD-00297</t>
  </si>
  <si>
    <t>ORD-00529</t>
  </si>
  <si>
    <t>ORD-00606</t>
  </si>
  <si>
    <t>ORD-00735</t>
  </si>
  <si>
    <t>ORD-01199</t>
  </si>
  <si>
    <t>ORD-01410</t>
  </si>
  <si>
    <t>ORD-00311</t>
  </si>
  <si>
    <t>ORD-00563</t>
  </si>
  <si>
    <t>ORD-01011</t>
  </si>
  <si>
    <t>ORD-00625</t>
  </si>
  <si>
    <t>ORD-00988</t>
  </si>
  <si>
    <t>ORD-00043</t>
  </si>
  <si>
    <t>ORD-00541</t>
  </si>
  <si>
    <t>ORD-00622</t>
  </si>
  <si>
    <t>ORD-00382</t>
  </si>
  <si>
    <t>ORD-01152</t>
  </si>
  <si>
    <t>ORD-00725</t>
  </si>
  <si>
    <t>ORD-00393</t>
  </si>
  <si>
    <t>ORD-00089</t>
  </si>
  <si>
    <t>ORD-01373</t>
  </si>
  <si>
    <t>ORD-01078</t>
  </si>
  <si>
    <t>ORD-01312</t>
  </si>
  <si>
    <t>ORD-00501</t>
  </si>
  <si>
    <t>ORD-00947</t>
  </si>
  <si>
    <t>ORD-00079</t>
  </si>
  <si>
    <t>ORD-01284</t>
  </si>
  <si>
    <t>ORD-00589</t>
  </si>
  <si>
    <t>ORD-00826</t>
  </si>
  <si>
    <t>ORD-01368</t>
  </si>
  <si>
    <t>ORD-01172</t>
  </si>
  <si>
    <t>ORD-00609</t>
  </si>
  <si>
    <t>ORD-00186</t>
  </si>
  <si>
    <t>ORD-00616</t>
  </si>
  <si>
    <t>ORD-01093</t>
  </si>
  <si>
    <t>ORD-00196</t>
  </si>
  <si>
    <t>ORD-00977</t>
  </si>
  <si>
    <t>ORD-01102</t>
  </si>
  <si>
    <t>ORD-01143</t>
  </si>
  <si>
    <t>ORD-00843</t>
  </si>
  <si>
    <t>ORD-00794</t>
  </si>
  <si>
    <t>ORD-01445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</si>
</sst>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\$#,##0.00;[Red]\(\$#,##0.00\);\-"/>
    <numFmt numFmtId="167" formatCode="\$#,##0"/>
    <numFmt numFmtId="168" formatCode="0.0%"/>
  </numFmts>
  <fonts count="17">
    <font>
      <sz val="11"/>
      <name val="Carlito"/>
    </font>
    <font>
      <b/>
      <sz val="11"/>
      <color rgb="FFFFFFFF"/>
      <name val="Carlito"/>
    </font>
    <font>
      <sz val="10"/>
      <color rgb="FF1E293B"/>
      <name val="Carlito"/>
    </font>
    <font>
      <b/>
      <sz val="16"/>
      <color rgb="FFFFFFFF"/>
      <name val="Carlito"/>
    </font>
    <font>
      <b/>
      <sz val="11"/>
      <color rgb="FF223A5E"/>
      <name val="Carlito"/>
    </font>
    <font>
      <sz val="11"/>
      <color rgb="FF1E293B"/>
      <name val="Carlito"/>
    </font>
    <font>
      <b/>
      <sz val="22"/>
      <color rgb="FFFFFFFF"/>
      <name val="Carlito"/>
    </font>
    <font>
      <i/>
      <sz val="10"/>
      <color rgb="FFD8E4F5"/>
      <name val="Carlito"/>
    </font>
    <font>
      <b/>
      <sz val="11"/>
      <color rgb="FF64748B"/>
      <name val="Carlito"/>
    </font>
    <font>
      <b/>
      <sz val="12"/>
      <color rgb="FF2F6BFF"/>
      <name val="Carlito"/>
    </font>
    <font>
      <b/>
      <sz val="10"/>
      <color rgb="FF64748B"/>
      <name val="Carlito"/>
    </font>
    <font>
      <b/>
      <sz val="18"/>
      <color rgb="FF2F6BFF"/>
      <name val="Carlito"/>
    </font>
    <font>
      <b/>
      <sz val="18"/>
      <color rgb="FF21A179"/>
      <name val="Carlito"/>
    </font>
    <font>
      <b/>
      <sz val="18"/>
      <color rgb="FFB7791F"/>
      <name val="Carlito"/>
    </font>
    <font>
      <b/>
      <sz val="18"/>
      <color rgb="FF7656C8"/>
      <name val="Carlito"/>
    </font>
    <font>
      <b/>
      <sz val="18"/>
      <color rgb="FF147D92"/>
      <name val="Carlito"/>
    </font>
    <font>
      <i/>
      <sz val="9"/>
      <color rgb="FF64748B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5243A"/>
      </patternFill>
    </fill>
    <fill>
      <patternFill patternType="solid">
        <fgColor rgb="FFEAF0FF"/>
      </patternFill>
    </fill>
    <fill>
      <patternFill patternType="solid">
        <fgColor rgb="FFFFFFFF"/>
      </patternFill>
    </fill>
    <fill>
      <patternFill patternType="solid">
        <fgColor rgb="FF223A5E"/>
      </patternFill>
    </fill>
    <fill>
      <patternFill patternType="solid">
        <fgColor rgb="FFF3F6FA"/>
      </patternFill>
    </fill>
    <fill>
      <patternFill patternType="solid">
        <fgColor rgb="FFE7F7F1"/>
      </patternFill>
    </fill>
    <fill>
      <patternFill patternType="solid">
        <fgColor rgb="FFFFF6DE"/>
      </patternFill>
    </fill>
    <fill>
      <patternFill patternType="solid">
        <fgColor rgb="FFF2EDFF"/>
      </patternFill>
    </fill>
    <fill>
      <patternFill patternType="solid">
        <fgColor rgb="FFE8F6FA"/>
      </patternFill>
    </fill>
  </fills>
  <borders count="25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/>
      <diagonal/>
    </border>
    <border>
      <left style="thin">
        <color rgb="FFDCE3EC"/>
      </left>
      <right style="thin">
        <color rgb="FFDCE3EC"/>
      </right>
      <top/>
      <bottom/>
      <diagonal/>
    </border>
    <border>
      <left style="thin">
        <color rgb="FFDCE3EC"/>
      </left>
      <right style="thin">
        <color rgb="FFDCE3EC"/>
      </right>
      <top/>
      <bottom style="thin">
        <color rgb="FFDCE3EC"/>
      </bottom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  <border>
      <left style="thin">
        <color rgb="FFAFC3FF"/>
      </left>
      <right/>
      <top style="thin">
        <color rgb="FFAFC3FF"/>
      </top>
      <bottom style="thin">
        <color rgb="FFAFC3FF"/>
      </bottom>
      <diagonal/>
    </border>
    <border>
      <left/>
      <right style="thin">
        <color rgb="FFAFC3FF"/>
      </right>
      <top style="thin">
        <color rgb="FFAFC3FF"/>
      </top>
      <bottom style="thin">
        <color rgb="FFAFC3FF"/>
      </bottom>
      <diagonal/>
    </border>
    <border>
      <left/>
      <right/>
      <top style="thin">
        <color rgb="FFAFC3FF"/>
      </top>
      <bottom style="thin">
        <color rgb="FFAFC3FF"/>
      </bottom>
      <diagonal/>
    </border>
    <border>
      <left style="thin">
        <color rgb="FFDCE3EC"/>
      </left>
      <right/>
      <top style="thin">
        <color rgb="FFDCE3EC"/>
      </top>
      <bottom/>
      <diagonal/>
    </border>
    <border>
      <left/>
      <right/>
      <top style="thin">
        <color rgb="FFDCE3EC"/>
      </top>
      <bottom/>
      <diagonal/>
    </border>
    <border>
      <left/>
      <right style="thin">
        <color rgb="FFDCE3EC"/>
      </right>
      <top style="thin">
        <color rgb="FFDCE3EC"/>
      </top>
      <bottom/>
      <diagonal/>
    </border>
    <border>
      <left style="thin">
        <color rgb="FFDCE3EC"/>
      </left>
      <right/>
      <top/>
      <bottom/>
      <diagonal/>
    </border>
    <border>
      <left/>
      <right style="thin">
        <color rgb="FFDCE3EC"/>
      </right>
      <top/>
      <bottom/>
      <diagonal/>
    </border>
    <border>
      <left style="thin">
        <color rgb="FFDCE3EC"/>
      </left>
      <right/>
      <top/>
      <bottom style="thin">
        <color rgb="FFDCE3EC"/>
      </bottom>
      <diagonal/>
    </border>
    <border>
      <left/>
      <right/>
      <top/>
      <bottom style="thin">
        <color rgb="FFDCE3EC"/>
      </bottom>
      <diagonal/>
    </border>
    <border>
      <left/>
      <right style="thin">
        <color rgb="FFDCE3EC"/>
      </right>
      <top/>
      <bottom style="thin">
        <color rgb="FFDCE3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3" borderId="0" xfId="0" applyFont="1" applyFill="1"/>
    <xf numFmtId="0" fontId="0" fillId="0" borderId="4" xfId="0" applyBorder="1"/>
    <xf numFmtId="0" fontId="1" fillId="5" borderId="4" xfId="0" applyFont="1" applyFill="1" applyBorder="1" applyAlignment="1">
      <alignment horizontal="center"/>
    </xf>
    <xf numFmtId="167" fontId="0" fillId="0" borderId="4" xfId="0" applyNumberFormat="1" applyBorder="1"/>
    <xf numFmtId="168" fontId="0" fillId="0" borderId="4" xfId="0" applyNumberFormat="1" applyBorder="1"/>
    <xf numFmtId="3" fontId="0" fillId="0" borderId="4" xfId="0" applyNumberFormat="1" applyBorder="1"/>
    <xf numFmtId="0" fontId="8" fillId="6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167" fontId="11" fillId="3" borderId="11" xfId="0" applyNumberFormat="1" applyFont="1" applyFill="1" applyBorder="1" applyAlignment="1">
      <alignment horizontal="center" vertical="center"/>
    </xf>
    <xf numFmtId="167" fontId="11" fillId="3" borderId="0" xfId="0" applyNumberFormat="1" applyFont="1" applyFill="1" applyAlignment="1">
      <alignment horizontal="center" vertical="center"/>
    </xf>
    <xf numFmtId="167" fontId="11" fillId="3" borderId="12" xfId="0" applyNumberFormat="1" applyFont="1" applyFill="1" applyBorder="1" applyAlignment="1">
      <alignment horizontal="center" vertical="center"/>
    </xf>
    <xf numFmtId="167" fontId="11" fillId="3" borderId="13" xfId="0" applyNumberFormat="1" applyFont="1" applyFill="1" applyBorder="1" applyAlignment="1">
      <alignment horizontal="center" vertical="center"/>
    </xf>
    <xf numFmtId="167" fontId="11" fillId="3" borderId="14" xfId="0" applyNumberFormat="1" applyFont="1" applyFill="1" applyBorder="1" applyAlignment="1">
      <alignment horizontal="center" vertical="center"/>
    </xf>
    <xf numFmtId="167" fontId="11" fillId="3" borderId="15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167" fontId="12" fillId="7" borderId="11" xfId="0" applyNumberFormat="1" applyFont="1" applyFill="1" applyBorder="1" applyAlignment="1">
      <alignment horizontal="center" vertical="center"/>
    </xf>
    <xf numFmtId="167" fontId="12" fillId="7" borderId="0" xfId="0" applyNumberFormat="1" applyFont="1" applyFill="1" applyAlignment="1">
      <alignment horizontal="center" vertical="center"/>
    </xf>
    <xf numFmtId="167" fontId="12" fillId="7" borderId="12" xfId="0" applyNumberFormat="1" applyFont="1" applyFill="1" applyBorder="1" applyAlignment="1">
      <alignment horizontal="center" vertical="center"/>
    </xf>
    <xf numFmtId="167" fontId="12" fillId="7" borderId="13" xfId="0" applyNumberFormat="1" applyFont="1" applyFill="1" applyBorder="1" applyAlignment="1">
      <alignment horizontal="center" vertical="center"/>
    </xf>
    <xf numFmtId="167" fontId="12" fillId="7" borderId="14" xfId="0" applyNumberFormat="1" applyFont="1" applyFill="1" applyBorder="1" applyAlignment="1">
      <alignment horizontal="center" vertical="center"/>
    </xf>
    <xf numFmtId="167" fontId="12" fillId="7" borderId="15" xfId="0" applyNumberFormat="1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168" fontId="13" fillId="8" borderId="11" xfId="0" applyNumberFormat="1" applyFont="1" applyFill="1" applyBorder="1" applyAlignment="1">
      <alignment horizontal="center" vertical="center"/>
    </xf>
    <xf numFmtId="168" fontId="13" fillId="8" borderId="0" xfId="0" applyNumberFormat="1" applyFont="1" applyFill="1" applyAlignment="1">
      <alignment horizontal="center" vertical="center"/>
    </xf>
    <xf numFmtId="168" fontId="13" fillId="8" borderId="12" xfId="0" applyNumberFormat="1" applyFont="1" applyFill="1" applyBorder="1" applyAlignment="1">
      <alignment horizontal="center" vertical="center"/>
    </xf>
    <xf numFmtId="168" fontId="13" fillId="8" borderId="13" xfId="0" applyNumberFormat="1" applyFont="1" applyFill="1" applyBorder="1" applyAlignment="1">
      <alignment horizontal="center" vertical="center"/>
    </xf>
    <xf numFmtId="168" fontId="13" fillId="8" borderId="14" xfId="0" applyNumberFormat="1" applyFont="1" applyFill="1" applyBorder="1" applyAlignment="1">
      <alignment horizontal="center" vertical="center"/>
    </xf>
    <xf numFmtId="168" fontId="13" fillId="8" borderId="15" xfId="0" applyNumberFormat="1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3" fontId="14" fillId="9" borderId="11" xfId="0" applyNumberFormat="1" applyFont="1" applyFill="1" applyBorder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3" fontId="14" fillId="9" borderId="12" xfId="0" applyNumberFormat="1" applyFont="1" applyFill="1" applyBorder="1" applyAlignment="1">
      <alignment horizontal="center" vertical="center"/>
    </xf>
    <xf numFmtId="3" fontId="14" fillId="9" borderId="13" xfId="0" applyNumberFormat="1" applyFont="1" applyFill="1" applyBorder="1" applyAlignment="1">
      <alignment horizontal="center" vertical="center"/>
    </xf>
    <xf numFmtId="3" fontId="14" fillId="9" borderId="14" xfId="0" applyNumberFormat="1" applyFont="1" applyFill="1" applyBorder="1" applyAlignment="1">
      <alignment horizontal="center" vertical="center"/>
    </xf>
    <xf numFmtId="3" fontId="14" fillId="9" borderId="15" xfId="0" applyNumberFormat="1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168" fontId="15" fillId="10" borderId="11" xfId="0" applyNumberFormat="1" applyFont="1" applyFill="1" applyBorder="1" applyAlignment="1">
      <alignment horizontal="center" vertical="center"/>
    </xf>
    <xf numFmtId="168" fontId="15" fillId="10" borderId="0" xfId="0" applyNumberFormat="1" applyFont="1" applyFill="1" applyAlignment="1">
      <alignment horizontal="center" vertical="center"/>
    </xf>
    <xf numFmtId="168" fontId="15" fillId="10" borderId="12" xfId="0" applyNumberFormat="1" applyFont="1" applyFill="1" applyBorder="1" applyAlignment="1">
      <alignment horizontal="center" vertical="center"/>
    </xf>
    <xf numFmtId="168" fontId="15" fillId="10" borderId="13" xfId="0" applyNumberFormat="1" applyFont="1" applyFill="1" applyBorder="1" applyAlignment="1">
      <alignment horizontal="center" vertical="center"/>
    </xf>
    <xf numFmtId="168" fontId="15" fillId="10" borderId="14" xfId="0" applyNumberFormat="1" applyFont="1" applyFill="1" applyBorder="1" applyAlignment="1">
      <alignment horizontal="center" vertical="center"/>
    </xf>
    <xf numFmtId="168" fontId="15" fillId="10" borderId="15" xfId="0" applyNumberFormat="1" applyFont="1" applyFill="1" applyBorder="1" applyAlignment="1">
      <alignment horizontal="center" vertical="center"/>
    </xf>
    <xf numFmtId="0" fontId="16" fillId="6" borderId="0" xfId="0" applyFont="1" applyFill="1"/>
    <xf numFmtId="0" fontId="6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164" fontId="2" fillId="0" borderId="20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65" fontId="2" fillId="0" borderId="16" xfId="0" applyNumberFormat="1" applyFont="1" applyBorder="1"/>
    <xf numFmtId="9" fontId="2" fillId="0" borderId="16" xfId="0" applyNumberFormat="1" applyFont="1" applyBorder="1"/>
    <xf numFmtId="166" fontId="2" fillId="0" borderId="16" xfId="0" applyNumberFormat="1" applyFont="1" applyBorder="1"/>
    <xf numFmtId="0" fontId="2" fillId="0" borderId="16" xfId="0" applyFont="1" applyBorder="1"/>
    <xf numFmtId="0" fontId="2" fillId="0" borderId="21" xfId="0" applyFont="1" applyBorder="1"/>
    <xf numFmtId="164" fontId="2" fillId="0" borderId="22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3" fontId="2" fillId="0" borderId="23" xfId="0" applyNumberFormat="1" applyFont="1" applyBorder="1" applyAlignment="1">
      <alignment horizontal="center"/>
    </xf>
    <xf numFmtId="165" fontId="2" fillId="0" borderId="23" xfId="0" applyNumberFormat="1" applyFont="1" applyBorder="1"/>
    <xf numFmtId="9" fontId="2" fillId="0" borderId="23" xfId="0" applyNumberFormat="1" applyFont="1" applyBorder="1"/>
    <xf numFmtId="166" fontId="2" fillId="0" borderId="23" xfId="0" applyNumberFormat="1" applyFont="1" applyBorder="1"/>
    <xf numFmtId="0" fontId="2" fillId="0" borderId="23" xfId="0" applyFont="1" applyBorder="1"/>
    <xf numFmtId="0" fontId="2" fillId="0" borderId="24" xfId="0" applyFont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Revenue &amp; Profit ($)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Analysis!$A$10:$A$21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Analysis!$B$10:$B$21</c:f>
              <c:numCache>
                <c:formatCode>\$#,##0</c:formatCode>
                <c:ptCount val="12"/>
                <c:pt idx="0">
                  <c:v>146158.77169999995</c:v>
                </c:pt>
                <c:pt idx="1">
                  <c:v>117455.08330000001</c:v>
                </c:pt>
                <c:pt idx="2">
                  <c:v>131681.5833</c:v>
                </c:pt>
                <c:pt idx="3">
                  <c:v>127291.48289999999</c:v>
                </c:pt>
                <c:pt idx="4">
                  <c:v>156998.88660000003</c:v>
                </c:pt>
                <c:pt idx="5">
                  <c:v>65061.121599999984</c:v>
                </c:pt>
                <c:pt idx="6">
                  <c:v>92694.499699999986</c:v>
                </c:pt>
                <c:pt idx="7">
                  <c:v>105609.77500000002</c:v>
                </c:pt>
                <c:pt idx="8">
                  <c:v>66644.397600000011</c:v>
                </c:pt>
                <c:pt idx="9">
                  <c:v>137538.74100000001</c:v>
                </c:pt>
                <c:pt idx="10">
                  <c:v>126808.92409999999</c:v>
                </c:pt>
                <c:pt idx="11">
                  <c:v>194863.18910000008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A-4C79-B521-C0444F373D0C}"/>
            </c:ext>
          </c:extLst>
        </c:ser>
        <c:ser>
          <c:idx val="1"/>
          <c:order val="1"/>
          <c:tx>
            <c:v>Profit</c:v>
          </c:tx>
          <c:cat>
            <c:strRef>
              <c:f>Analysis!$A$10:$A$21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Analysis!$C$10:$C$21</c:f>
              <c:numCache>
                <c:formatCode>\$#,##0</c:formatCode>
                <c:ptCount val="12"/>
                <c:pt idx="0">
                  <c:v>48450.681700000016</c:v>
                </c:pt>
                <c:pt idx="1">
                  <c:v>38688.503299999989</c:v>
                </c:pt>
                <c:pt idx="2">
                  <c:v>47774.583300000013</c:v>
                </c:pt>
                <c:pt idx="3">
                  <c:v>44835.222900000008</c:v>
                </c:pt>
                <c:pt idx="4">
                  <c:v>56273.986600000011</c:v>
                </c:pt>
                <c:pt idx="5">
                  <c:v>23778.3616</c:v>
                </c:pt>
                <c:pt idx="6">
                  <c:v>31707.639700000003</c:v>
                </c:pt>
                <c:pt idx="7">
                  <c:v>35635.684999999998</c:v>
                </c:pt>
                <c:pt idx="8">
                  <c:v>23564.997600000002</c:v>
                </c:pt>
                <c:pt idx="9">
                  <c:v>43637.29099999999</c:v>
                </c:pt>
                <c:pt idx="10">
                  <c:v>41053.274099999995</c:v>
                </c:pt>
                <c:pt idx="11">
                  <c:v>64021.879100000006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A-4C79-B521-C0444F373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Regional Revenue Share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Revenue</c:v>
          </c:tx>
          <c:cat>
            <c:strRef>
              <c:f>Analysis!$J$4:$J$7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Analysis!$K$4:$K$7</c:f>
              <c:numCache>
                <c:formatCode>\$#,##0</c:formatCode>
                <c:ptCount val="4"/>
                <c:pt idx="0">
                  <c:v>324160.11409999995</c:v>
                </c:pt>
                <c:pt idx="1">
                  <c:v>429048.25719999993</c:v>
                </c:pt>
                <c:pt idx="2">
                  <c:v>338322.28789999994</c:v>
                </c:pt>
                <c:pt idx="3">
                  <c:v>377275.79670000006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5-4D6D-B845-4A469E4AD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by Product ($)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F6BFF"/>
            </a:solidFill>
          </c:spPr>
          <c:invertIfNegative val="1"/>
          <c:cat>
            <c:strRef>
              <c:f>Analysis!$G$4:$G$11</c:f>
              <c:strCache>
                <c:ptCount val="8"/>
                <c:pt idx="0">
                  <c:v>Nova Laptop</c:v>
                </c:pt>
                <c:pt idx="1">
                  <c:v>Pulse Tablet</c:v>
                </c:pt>
                <c:pt idx="2">
                  <c:v>Orbit Monitor</c:v>
                </c:pt>
                <c:pt idx="3">
                  <c:v>Ergo Chair</c:v>
                </c:pt>
                <c:pt idx="4">
                  <c:v>Lift Desk</c:v>
                </c:pt>
                <c:pt idx="5">
                  <c:v>Focus Lamp</c:v>
                </c:pt>
                <c:pt idx="6">
                  <c:v>Arc Keyboard</c:v>
                </c:pt>
                <c:pt idx="7">
                  <c:v>Flow Mouse</c:v>
                </c:pt>
              </c:strCache>
            </c:strRef>
          </c:cat>
          <c:val>
            <c:numRef>
              <c:f>Analysis!$H$4:$H$11</c:f>
              <c:numCache>
                <c:formatCode>\$#,##0</c:formatCode>
                <c:ptCount val="8"/>
                <c:pt idx="0">
                  <c:v>417500.22810000001</c:v>
                </c:pt>
                <c:pt idx="1">
                  <c:v>270162.37030000001</c:v>
                </c:pt>
                <c:pt idx="2">
                  <c:v>149250.59400000001</c:v>
                </c:pt>
                <c:pt idx="3">
                  <c:v>170809.47580000007</c:v>
                </c:pt>
                <c:pt idx="4">
                  <c:v>351456.73099999991</c:v>
                </c:pt>
                <c:pt idx="5">
                  <c:v>42423.525999999998</c:v>
                </c:pt>
                <c:pt idx="6">
                  <c:v>38463.730100000008</c:v>
                </c:pt>
                <c:pt idx="7">
                  <c:v>28739.800600000006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CDF-4881-B44C-F7E688A56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by Category ($)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22B8CF"/>
            </a:solidFill>
          </c:spPr>
          <c:invertIfNegative val="1"/>
          <c:cat>
            <c:strRef>
              <c:f>Analysis!$M$4:$M$6</c:f>
              <c:strCache>
                <c:ptCount val="3"/>
                <c:pt idx="0">
                  <c:v>Electronics</c:v>
                </c:pt>
                <c:pt idx="1">
                  <c:v>Office</c:v>
                </c:pt>
                <c:pt idx="2">
                  <c:v>Accessories</c:v>
                </c:pt>
              </c:strCache>
            </c:strRef>
          </c:cat>
          <c:val>
            <c:numRef>
              <c:f>Analysis!$N$4:$N$6</c:f>
              <c:numCache>
                <c:formatCode>\$#,##0</c:formatCode>
                <c:ptCount val="3"/>
                <c:pt idx="0">
                  <c:v>836913.19239999948</c:v>
                </c:pt>
                <c:pt idx="1">
                  <c:v>564689.73279999988</c:v>
                </c:pt>
                <c:pt idx="2">
                  <c:v>67203.530700000003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0F7-4D79-9D4B-32EFA57F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N1451" headerRowDxfId="1" totalsRowDxfId="0" headerRowBorderDxfId="16" tableBorderDxfId="17">
  <autoFilter ref="A1:N1451" xr:uid="{00000000-0009-0000-0100-000001000000}"/>
  <tableColumns count="14">
    <tableColumn id="1" xr3:uid="{00000000-0010-0000-0000-000001000000}" name="Order Date" dataDxfId="15"/>
    <tableColumn id="2" xr3:uid="{00000000-0010-0000-0000-000002000000}" name="Order ID" dataDxfId="14"/>
    <tableColumn id="3" xr3:uid="{00000000-0010-0000-0000-000003000000}" name="Region" dataDxfId="13"/>
    <tableColumn id="4" xr3:uid="{00000000-0010-0000-0000-000004000000}" name="Category" dataDxfId="12"/>
    <tableColumn id="5" xr3:uid="{00000000-0010-0000-0000-000005000000}" name="Product" dataDxfId="11"/>
    <tableColumn id="6" xr3:uid="{00000000-0010-0000-0000-000006000000}" name="Units" dataDxfId="10"/>
    <tableColumn id="7" xr3:uid="{00000000-0010-0000-0000-000007000000}" name="Unit Price" dataDxfId="9"/>
    <tableColumn id="8" xr3:uid="{00000000-0010-0000-0000-000008000000}" name="Discount" dataDxfId="8"/>
    <tableColumn id="9" xr3:uid="{00000000-0010-0000-0000-000009000000}" name="Revenue" dataDxfId="7"/>
    <tableColumn id="10" xr3:uid="{00000000-0010-0000-0000-00000A000000}" name="Cost" dataDxfId="6"/>
    <tableColumn id="11" xr3:uid="{00000000-0010-0000-0000-00000B000000}" name="Profit" dataDxfId="5"/>
    <tableColumn id="12" xr3:uid="{00000000-0010-0000-0000-00000C000000}" name="Channel" dataDxfId="4"/>
    <tableColumn id="13" xr3:uid="{00000000-0010-0000-0000-00000D000000}" name="Customer Segment" dataDxfId="3"/>
    <tableColumn id="14" xr3:uid="{00000000-0010-0000-0000-00000E000000}" name="Sales Re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51"/>
  <sheetViews>
    <sheetView showGridLines="0" tabSelected="1" workbookViewId="0">
      <selection activeCell="C5" sqref="C5"/>
    </sheetView>
  </sheetViews>
  <sheetFormatPr defaultRowHeight="13.8"/>
  <cols>
    <col min="1" max="1" width="15" style="76" customWidth="1"/>
    <col min="2" max="2" width="14" style="76" customWidth="1"/>
    <col min="3" max="4" width="15" style="76" customWidth="1"/>
    <col min="5" max="5" width="19" style="76" customWidth="1"/>
    <col min="6" max="6" width="15" style="76" customWidth="1"/>
    <col min="7" max="12" width="15" customWidth="1"/>
    <col min="13" max="14" width="19" customWidth="1"/>
  </cols>
  <sheetData>
    <row r="1" spans="1:14" ht="28.05" customHeight="1">
      <c r="A1" s="77" t="s">
        <v>49</v>
      </c>
      <c r="B1" s="78" t="s">
        <v>50</v>
      </c>
      <c r="C1" s="78" t="s">
        <v>21</v>
      </c>
      <c r="D1" s="78" t="s">
        <v>22</v>
      </c>
      <c r="E1" s="78" t="s">
        <v>19</v>
      </c>
      <c r="F1" s="78" t="s">
        <v>51</v>
      </c>
      <c r="G1" s="79" t="s">
        <v>52</v>
      </c>
      <c r="H1" s="79" t="s">
        <v>53</v>
      </c>
      <c r="I1" s="79" t="s">
        <v>20</v>
      </c>
      <c r="J1" s="79" t="s">
        <v>54</v>
      </c>
      <c r="K1" s="79" t="s">
        <v>44</v>
      </c>
      <c r="L1" s="79" t="s">
        <v>55</v>
      </c>
      <c r="M1" s="79" t="s">
        <v>56</v>
      </c>
      <c r="N1" s="80" t="s">
        <v>57</v>
      </c>
    </row>
    <row r="2" spans="1:14">
      <c r="A2" s="81">
        <v>45292</v>
      </c>
      <c r="B2" s="82" t="s">
        <v>58</v>
      </c>
      <c r="C2" s="82" t="s">
        <v>40</v>
      </c>
      <c r="D2" s="82" t="s">
        <v>37</v>
      </c>
      <c r="E2" s="82" t="s">
        <v>48</v>
      </c>
      <c r="F2" s="83">
        <v>4</v>
      </c>
      <c r="G2" s="84">
        <v>65.930000000000007</v>
      </c>
      <c r="H2" s="85">
        <v>0.1</v>
      </c>
      <c r="I2" s="86">
        <f t="shared" ref="I2:I65" si="0">F2*G2*(1-H2)</f>
        <v>237.34800000000004</v>
      </c>
      <c r="J2" s="86">
        <v>110.76</v>
      </c>
      <c r="K2" s="86">
        <f t="shared" ref="K2:K65" si="1">I2-J2</f>
        <v>126.58800000000004</v>
      </c>
      <c r="L2" s="87" t="s">
        <v>59</v>
      </c>
      <c r="M2" s="87" t="s">
        <v>60</v>
      </c>
      <c r="N2" s="88" t="s">
        <v>61</v>
      </c>
    </row>
    <row r="3" spans="1:14">
      <c r="A3" s="81">
        <v>45292</v>
      </c>
      <c r="B3" s="82" t="s">
        <v>62</v>
      </c>
      <c r="C3" s="82" t="s">
        <v>31</v>
      </c>
      <c r="D3" s="82" t="s">
        <v>37</v>
      </c>
      <c r="E3" s="82" t="s">
        <v>47</v>
      </c>
      <c r="F3" s="83">
        <v>8</v>
      </c>
      <c r="G3" s="84">
        <v>125.87</v>
      </c>
      <c r="H3" s="85">
        <v>0.03</v>
      </c>
      <c r="I3" s="86">
        <f t="shared" si="0"/>
        <v>976.75120000000004</v>
      </c>
      <c r="J3" s="86">
        <v>463.2</v>
      </c>
      <c r="K3" s="86">
        <f t="shared" si="1"/>
        <v>513.55120000000011</v>
      </c>
      <c r="L3" s="87" t="s">
        <v>63</v>
      </c>
      <c r="M3" s="87" t="s">
        <v>64</v>
      </c>
      <c r="N3" s="88" t="s">
        <v>65</v>
      </c>
    </row>
    <row r="4" spans="1:14">
      <c r="A4" s="81">
        <v>45293</v>
      </c>
      <c r="B4" s="82" t="s">
        <v>66</v>
      </c>
      <c r="C4" s="82" t="s">
        <v>31</v>
      </c>
      <c r="D4" s="82" t="s">
        <v>37</v>
      </c>
      <c r="E4" s="82" t="s">
        <v>48</v>
      </c>
      <c r="F4" s="83">
        <v>7</v>
      </c>
      <c r="G4" s="84">
        <v>71.38</v>
      </c>
      <c r="H4" s="85">
        <v>0.12</v>
      </c>
      <c r="I4" s="86">
        <f t="shared" si="0"/>
        <v>439.70079999999996</v>
      </c>
      <c r="J4" s="86">
        <v>209.86</v>
      </c>
      <c r="K4" s="86">
        <f t="shared" si="1"/>
        <v>229.84079999999994</v>
      </c>
      <c r="L4" s="87" t="s">
        <v>67</v>
      </c>
      <c r="M4" s="87" t="s">
        <v>68</v>
      </c>
      <c r="N4" s="88" t="s">
        <v>69</v>
      </c>
    </row>
    <row r="5" spans="1:14">
      <c r="A5" s="81">
        <v>45297</v>
      </c>
      <c r="B5" s="82" t="s">
        <v>70</v>
      </c>
      <c r="C5" s="82" t="s">
        <v>26</v>
      </c>
      <c r="D5" s="82" t="s">
        <v>32</v>
      </c>
      <c r="E5" s="82" t="s">
        <v>42</v>
      </c>
      <c r="F5" s="83">
        <v>7</v>
      </c>
      <c r="G5" s="84">
        <v>764.44</v>
      </c>
      <c r="H5" s="85">
        <v>0.12</v>
      </c>
      <c r="I5" s="86">
        <f t="shared" si="0"/>
        <v>4708.9503999999997</v>
      </c>
      <c r="J5" s="86">
        <v>3264.16</v>
      </c>
      <c r="K5" s="86">
        <f t="shared" si="1"/>
        <v>1444.7903999999999</v>
      </c>
      <c r="L5" s="87" t="s">
        <v>59</v>
      </c>
      <c r="M5" s="87" t="s">
        <v>68</v>
      </c>
      <c r="N5" s="88" t="s">
        <v>71</v>
      </c>
    </row>
    <row r="6" spans="1:14">
      <c r="A6" s="81">
        <v>45298</v>
      </c>
      <c r="B6" s="82" t="s">
        <v>72</v>
      </c>
      <c r="C6" s="82" t="s">
        <v>40</v>
      </c>
      <c r="D6" s="82" t="s">
        <v>27</v>
      </c>
      <c r="E6" s="82" t="s">
        <v>30</v>
      </c>
      <c r="F6" s="83">
        <v>2</v>
      </c>
      <c r="G6" s="84">
        <v>618.69000000000005</v>
      </c>
      <c r="H6" s="85">
        <v>0.05</v>
      </c>
      <c r="I6" s="86">
        <f t="shared" si="0"/>
        <v>1175.511</v>
      </c>
      <c r="J6" s="86">
        <v>791.92</v>
      </c>
      <c r="K6" s="86">
        <f t="shared" si="1"/>
        <v>383.59100000000001</v>
      </c>
      <c r="L6" s="87" t="s">
        <v>67</v>
      </c>
      <c r="M6" s="87" t="s">
        <v>64</v>
      </c>
      <c r="N6" s="88" t="s">
        <v>69</v>
      </c>
    </row>
    <row r="7" spans="1:14">
      <c r="A7" s="81">
        <v>45298</v>
      </c>
      <c r="B7" s="82" t="s">
        <v>73</v>
      </c>
      <c r="C7" s="82" t="s">
        <v>36</v>
      </c>
      <c r="D7" s="82" t="s">
        <v>37</v>
      </c>
      <c r="E7" s="82" t="s">
        <v>47</v>
      </c>
      <c r="F7" s="83">
        <v>6</v>
      </c>
      <c r="G7" s="84">
        <v>127.13</v>
      </c>
      <c r="H7" s="85">
        <v>0.05</v>
      </c>
      <c r="I7" s="86">
        <f t="shared" si="0"/>
        <v>724.64099999999996</v>
      </c>
      <c r="J7" s="86">
        <v>350.88</v>
      </c>
      <c r="K7" s="86">
        <f t="shared" si="1"/>
        <v>373.76099999999997</v>
      </c>
      <c r="L7" s="87" t="s">
        <v>63</v>
      </c>
      <c r="M7" s="87" t="s">
        <v>60</v>
      </c>
      <c r="N7" s="88" t="s">
        <v>74</v>
      </c>
    </row>
    <row r="8" spans="1:14">
      <c r="A8" s="81">
        <v>45299</v>
      </c>
      <c r="B8" s="82" t="s">
        <v>75</v>
      </c>
      <c r="C8" s="82" t="s">
        <v>31</v>
      </c>
      <c r="D8" s="82" t="s">
        <v>32</v>
      </c>
      <c r="E8" s="82" t="s">
        <v>42</v>
      </c>
      <c r="F8" s="83">
        <v>6</v>
      </c>
      <c r="G8" s="84">
        <v>792.31</v>
      </c>
      <c r="H8" s="85">
        <v>0.08</v>
      </c>
      <c r="I8" s="86">
        <f t="shared" si="0"/>
        <v>4373.5511999999999</v>
      </c>
      <c r="J8" s="86">
        <v>2899.85</v>
      </c>
      <c r="K8" s="86">
        <f t="shared" si="1"/>
        <v>1473.7012</v>
      </c>
      <c r="L8" s="87" t="s">
        <v>59</v>
      </c>
      <c r="M8" s="87" t="s">
        <v>64</v>
      </c>
      <c r="N8" s="88" t="s">
        <v>69</v>
      </c>
    </row>
    <row r="9" spans="1:14">
      <c r="A9" s="81">
        <v>45299</v>
      </c>
      <c r="B9" s="82" t="s">
        <v>76</v>
      </c>
      <c r="C9" s="82" t="s">
        <v>26</v>
      </c>
      <c r="D9" s="82" t="s">
        <v>32</v>
      </c>
      <c r="E9" s="82" t="s">
        <v>46</v>
      </c>
      <c r="F9" s="83">
        <v>8</v>
      </c>
      <c r="G9" s="84">
        <v>91.98</v>
      </c>
      <c r="H9" s="85">
        <v>0.03</v>
      </c>
      <c r="I9" s="86">
        <f t="shared" si="0"/>
        <v>713.76480000000004</v>
      </c>
      <c r="J9" s="86">
        <v>353.2</v>
      </c>
      <c r="K9" s="86">
        <f t="shared" si="1"/>
        <v>360.56480000000005</v>
      </c>
      <c r="L9" s="87" t="s">
        <v>59</v>
      </c>
      <c r="M9" s="87" t="s">
        <v>68</v>
      </c>
      <c r="N9" s="88" t="s">
        <v>61</v>
      </c>
    </row>
    <row r="10" spans="1:14">
      <c r="A10" s="81">
        <v>45303</v>
      </c>
      <c r="B10" s="82" t="s">
        <v>77</v>
      </c>
      <c r="C10" s="82" t="s">
        <v>40</v>
      </c>
      <c r="D10" s="82" t="s">
        <v>27</v>
      </c>
      <c r="E10" s="82" t="s">
        <v>25</v>
      </c>
      <c r="F10" s="83">
        <v>7</v>
      </c>
      <c r="G10" s="84">
        <v>1148.3399999999999</v>
      </c>
      <c r="H10" s="85">
        <v>0.03</v>
      </c>
      <c r="I10" s="86">
        <f t="shared" si="0"/>
        <v>7797.2285999999995</v>
      </c>
      <c r="J10" s="86">
        <v>5466.1</v>
      </c>
      <c r="K10" s="86">
        <f t="shared" si="1"/>
        <v>2331.1285999999991</v>
      </c>
      <c r="L10" s="87" t="s">
        <v>63</v>
      </c>
      <c r="M10" s="87" t="s">
        <v>68</v>
      </c>
      <c r="N10" s="88" t="s">
        <v>78</v>
      </c>
    </row>
    <row r="11" spans="1:14">
      <c r="A11" s="81">
        <v>45304</v>
      </c>
      <c r="B11" s="82" t="s">
        <v>79</v>
      </c>
      <c r="C11" s="82" t="s">
        <v>36</v>
      </c>
      <c r="D11" s="82" t="s">
        <v>27</v>
      </c>
      <c r="E11" s="82" t="s">
        <v>35</v>
      </c>
      <c r="F11" s="83">
        <v>6</v>
      </c>
      <c r="G11" s="84">
        <v>363.96</v>
      </c>
      <c r="H11" s="85">
        <v>0.03</v>
      </c>
      <c r="I11" s="86">
        <f t="shared" si="0"/>
        <v>2118.2471999999998</v>
      </c>
      <c r="J11" s="86">
        <v>1310.26</v>
      </c>
      <c r="K11" s="86">
        <f t="shared" si="1"/>
        <v>807.9871999999998</v>
      </c>
      <c r="L11" s="87" t="s">
        <v>59</v>
      </c>
      <c r="M11" s="87" t="s">
        <v>68</v>
      </c>
      <c r="N11" s="88" t="s">
        <v>78</v>
      </c>
    </row>
    <row r="12" spans="1:14">
      <c r="A12" s="81">
        <v>45304</v>
      </c>
      <c r="B12" s="82" t="s">
        <v>80</v>
      </c>
      <c r="C12" s="82" t="s">
        <v>40</v>
      </c>
      <c r="D12" s="82" t="s">
        <v>37</v>
      </c>
      <c r="E12" s="82" t="s">
        <v>47</v>
      </c>
      <c r="F12" s="83">
        <v>3</v>
      </c>
      <c r="G12" s="84">
        <v>124.77</v>
      </c>
      <c r="H12" s="85">
        <v>0.05</v>
      </c>
      <c r="I12" s="86">
        <f t="shared" si="0"/>
        <v>355.59449999999998</v>
      </c>
      <c r="J12" s="86">
        <v>172.18</v>
      </c>
      <c r="K12" s="86">
        <f t="shared" si="1"/>
        <v>183.41449999999998</v>
      </c>
      <c r="L12" s="87" t="s">
        <v>63</v>
      </c>
      <c r="M12" s="87" t="s">
        <v>60</v>
      </c>
      <c r="N12" s="88" t="s">
        <v>78</v>
      </c>
    </row>
    <row r="13" spans="1:14">
      <c r="A13" s="81">
        <v>45304</v>
      </c>
      <c r="B13" s="82" t="s">
        <v>81</v>
      </c>
      <c r="C13" s="82" t="s">
        <v>36</v>
      </c>
      <c r="D13" s="82" t="s">
        <v>27</v>
      </c>
      <c r="E13" s="82" t="s">
        <v>25</v>
      </c>
      <c r="F13" s="83">
        <v>6</v>
      </c>
      <c r="G13" s="84">
        <v>1150.3699999999999</v>
      </c>
      <c r="H13" s="85">
        <v>0.03</v>
      </c>
      <c r="I13" s="86">
        <f t="shared" si="0"/>
        <v>6695.1533999999992</v>
      </c>
      <c r="J13" s="86">
        <v>4693.51</v>
      </c>
      <c r="K13" s="86">
        <f t="shared" si="1"/>
        <v>2001.643399999999</v>
      </c>
      <c r="L13" s="87" t="s">
        <v>63</v>
      </c>
      <c r="M13" s="87" t="s">
        <v>60</v>
      </c>
      <c r="N13" s="88" t="s">
        <v>65</v>
      </c>
    </row>
    <row r="14" spans="1:14">
      <c r="A14" s="81">
        <v>45305</v>
      </c>
      <c r="B14" s="82" t="s">
        <v>82</v>
      </c>
      <c r="C14" s="82" t="s">
        <v>26</v>
      </c>
      <c r="D14" s="82" t="s">
        <v>32</v>
      </c>
      <c r="E14" s="82" t="s">
        <v>39</v>
      </c>
      <c r="F14" s="83">
        <v>9</v>
      </c>
      <c r="G14" s="84">
        <v>436.25</v>
      </c>
      <c r="H14" s="85">
        <v>0.1</v>
      </c>
      <c r="I14" s="86">
        <f t="shared" si="0"/>
        <v>3533.625</v>
      </c>
      <c r="J14" s="86">
        <v>2237.96</v>
      </c>
      <c r="K14" s="86">
        <f t="shared" si="1"/>
        <v>1295.665</v>
      </c>
      <c r="L14" s="87" t="s">
        <v>67</v>
      </c>
      <c r="M14" s="87" t="s">
        <v>68</v>
      </c>
      <c r="N14" s="88" t="s">
        <v>69</v>
      </c>
    </row>
    <row r="15" spans="1:14">
      <c r="A15" s="81">
        <v>45306</v>
      </c>
      <c r="B15" s="82" t="s">
        <v>83</v>
      </c>
      <c r="C15" s="82" t="s">
        <v>31</v>
      </c>
      <c r="D15" s="82" t="s">
        <v>32</v>
      </c>
      <c r="E15" s="82" t="s">
        <v>42</v>
      </c>
      <c r="F15" s="83">
        <v>5</v>
      </c>
      <c r="G15" s="84">
        <v>773.37</v>
      </c>
      <c r="H15" s="85">
        <v>0.03</v>
      </c>
      <c r="I15" s="86">
        <f t="shared" si="0"/>
        <v>3750.8444999999997</v>
      </c>
      <c r="J15" s="86">
        <v>2358.7800000000002</v>
      </c>
      <c r="K15" s="86">
        <f t="shared" si="1"/>
        <v>1392.0644999999995</v>
      </c>
      <c r="L15" s="87" t="s">
        <v>67</v>
      </c>
      <c r="M15" s="87" t="s">
        <v>64</v>
      </c>
      <c r="N15" s="88" t="s">
        <v>74</v>
      </c>
    </row>
    <row r="16" spans="1:14">
      <c r="A16" s="81">
        <v>45307</v>
      </c>
      <c r="B16" s="82" t="s">
        <v>84</v>
      </c>
      <c r="C16" s="82" t="s">
        <v>31</v>
      </c>
      <c r="D16" s="82" t="s">
        <v>37</v>
      </c>
      <c r="E16" s="82" t="s">
        <v>47</v>
      </c>
      <c r="F16" s="83">
        <v>2</v>
      </c>
      <c r="G16" s="84">
        <v>123.17</v>
      </c>
      <c r="H16" s="85">
        <v>0.03</v>
      </c>
      <c r="I16" s="86">
        <f t="shared" si="0"/>
        <v>238.94980000000001</v>
      </c>
      <c r="J16" s="86">
        <v>113.32</v>
      </c>
      <c r="K16" s="86">
        <f t="shared" si="1"/>
        <v>125.62980000000002</v>
      </c>
      <c r="L16" s="87" t="s">
        <v>59</v>
      </c>
      <c r="M16" s="87" t="s">
        <v>64</v>
      </c>
      <c r="N16" s="88" t="s">
        <v>65</v>
      </c>
    </row>
    <row r="17" spans="1:14">
      <c r="A17" s="81">
        <v>45307</v>
      </c>
      <c r="B17" s="82" t="s">
        <v>85</v>
      </c>
      <c r="C17" s="82" t="s">
        <v>36</v>
      </c>
      <c r="D17" s="82" t="s">
        <v>32</v>
      </c>
      <c r="E17" s="82" t="s">
        <v>39</v>
      </c>
      <c r="F17" s="83">
        <v>2</v>
      </c>
      <c r="G17" s="84">
        <v>418.6</v>
      </c>
      <c r="H17" s="85">
        <v>0.1</v>
      </c>
      <c r="I17" s="86">
        <f t="shared" si="0"/>
        <v>753.48</v>
      </c>
      <c r="J17" s="86">
        <v>477.2</v>
      </c>
      <c r="K17" s="86">
        <f t="shared" si="1"/>
        <v>276.28000000000003</v>
      </c>
      <c r="L17" s="87" t="s">
        <v>59</v>
      </c>
      <c r="M17" s="87" t="s">
        <v>60</v>
      </c>
      <c r="N17" s="88" t="s">
        <v>65</v>
      </c>
    </row>
    <row r="18" spans="1:14">
      <c r="A18" s="81">
        <v>45309</v>
      </c>
      <c r="B18" s="82" t="s">
        <v>86</v>
      </c>
      <c r="C18" s="82" t="s">
        <v>40</v>
      </c>
      <c r="D18" s="82" t="s">
        <v>37</v>
      </c>
      <c r="E18" s="82" t="s">
        <v>48</v>
      </c>
      <c r="F18" s="83">
        <v>8</v>
      </c>
      <c r="G18" s="84">
        <v>67.83</v>
      </c>
      <c r="H18" s="85">
        <v>0.05</v>
      </c>
      <c r="I18" s="86">
        <f t="shared" si="0"/>
        <v>515.50799999999992</v>
      </c>
      <c r="J18" s="86">
        <v>227.91</v>
      </c>
      <c r="K18" s="86">
        <f t="shared" si="1"/>
        <v>287.59799999999996</v>
      </c>
      <c r="L18" s="87" t="s">
        <v>67</v>
      </c>
      <c r="M18" s="87" t="s">
        <v>68</v>
      </c>
      <c r="N18" s="88" t="s">
        <v>71</v>
      </c>
    </row>
    <row r="19" spans="1:14">
      <c r="A19" s="81">
        <v>45310</v>
      </c>
      <c r="B19" s="82" t="s">
        <v>87</v>
      </c>
      <c r="C19" s="82" t="s">
        <v>36</v>
      </c>
      <c r="D19" s="82" t="s">
        <v>27</v>
      </c>
      <c r="E19" s="82" t="s">
        <v>30</v>
      </c>
      <c r="F19" s="83">
        <v>7</v>
      </c>
      <c r="G19" s="84">
        <v>615.92999999999995</v>
      </c>
      <c r="H19" s="85">
        <v>0.1</v>
      </c>
      <c r="I19" s="86">
        <f t="shared" si="0"/>
        <v>3880.3589999999995</v>
      </c>
      <c r="J19" s="86">
        <v>2759.37</v>
      </c>
      <c r="K19" s="86">
        <f t="shared" si="1"/>
        <v>1120.9889999999996</v>
      </c>
      <c r="L19" s="87" t="s">
        <v>67</v>
      </c>
      <c r="M19" s="87" t="s">
        <v>68</v>
      </c>
      <c r="N19" s="88" t="s">
        <v>78</v>
      </c>
    </row>
    <row r="20" spans="1:14">
      <c r="A20" s="81">
        <v>45313</v>
      </c>
      <c r="B20" s="82" t="s">
        <v>88</v>
      </c>
      <c r="C20" s="82" t="s">
        <v>40</v>
      </c>
      <c r="D20" s="82" t="s">
        <v>27</v>
      </c>
      <c r="E20" s="82" t="s">
        <v>30</v>
      </c>
      <c r="F20" s="83">
        <v>1</v>
      </c>
      <c r="G20" s="84">
        <v>601.73</v>
      </c>
      <c r="H20" s="85">
        <v>0</v>
      </c>
      <c r="I20" s="86">
        <f t="shared" si="0"/>
        <v>601.73</v>
      </c>
      <c r="J20" s="86">
        <v>385.11</v>
      </c>
      <c r="K20" s="86">
        <f t="shared" si="1"/>
        <v>216.62</v>
      </c>
      <c r="L20" s="87" t="s">
        <v>63</v>
      </c>
      <c r="M20" s="87" t="s">
        <v>60</v>
      </c>
      <c r="N20" s="88" t="s">
        <v>65</v>
      </c>
    </row>
    <row r="21" spans="1:14">
      <c r="A21" s="81">
        <v>45314</v>
      </c>
      <c r="B21" s="82" t="s">
        <v>89</v>
      </c>
      <c r="C21" s="82" t="s">
        <v>31</v>
      </c>
      <c r="D21" s="82" t="s">
        <v>27</v>
      </c>
      <c r="E21" s="82" t="s">
        <v>35</v>
      </c>
      <c r="F21" s="83">
        <v>8</v>
      </c>
      <c r="G21" s="84">
        <v>376.71</v>
      </c>
      <c r="H21" s="85">
        <v>0.1</v>
      </c>
      <c r="I21" s="86">
        <f t="shared" si="0"/>
        <v>2712.3119999999999</v>
      </c>
      <c r="J21" s="86">
        <v>1808.21</v>
      </c>
      <c r="K21" s="86">
        <f t="shared" si="1"/>
        <v>904.10199999999986</v>
      </c>
      <c r="L21" s="87" t="s">
        <v>59</v>
      </c>
      <c r="M21" s="87" t="s">
        <v>60</v>
      </c>
      <c r="N21" s="88" t="s">
        <v>74</v>
      </c>
    </row>
    <row r="22" spans="1:14">
      <c r="A22" s="81">
        <v>45314</v>
      </c>
      <c r="B22" s="82" t="s">
        <v>90</v>
      </c>
      <c r="C22" s="82" t="s">
        <v>36</v>
      </c>
      <c r="D22" s="82" t="s">
        <v>37</v>
      </c>
      <c r="E22" s="82" t="s">
        <v>48</v>
      </c>
      <c r="F22" s="83">
        <v>7</v>
      </c>
      <c r="G22" s="84">
        <v>66.02</v>
      </c>
      <c r="H22" s="85">
        <v>0</v>
      </c>
      <c r="I22" s="86">
        <f t="shared" si="0"/>
        <v>462.14</v>
      </c>
      <c r="J22" s="86">
        <v>194.1</v>
      </c>
      <c r="K22" s="86">
        <f t="shared" si="1"/>
        <v>268.03999999999996</v>
      </c>
      <c r="L22" s="87" t="s">
        <v>63</v>
      </c>
      <c r="M22" s="87" t="s">
        <v>64</v>
      </c>
      <c r="N22" s="88" t="s">
        <v>78</v>
      </c>
    </row>
    <row r="23" spans="1:14">
      <c r="A23" s="81">
        <v>45314</v>
      </c>
      <c r="B23" s="82" t="s">
        <v>91</v>
      </c>
      <c r="C23" s="82" t="s">
        <v>36</v>
      </c>
      <c r="D23" s="82" t="s">
        <v>27</v>
      </c>
      <c r="E23" s="82" t="s">
        <v>30</v>
      </c>
      <c r="F23" s="83">
        <v>6</v>
      </c>
      <c r="G23" s="84">
        <v>642.62</v>
      </c>
      <c r="H23" s="85">
        <v>0.05</v>
      </c>
      <c r="I23" s="86">
        <f t="shared" si="0"/>
        <v>3662.9340000000002</v>
      </c>
      <c r="J23" s="86">
        <v>2467.66</v>
      </c>
      <c r="K23" s="86">
        <f t="shared" si="1"/>
        <v>1195.2740000000003</v>
      </c>
      <c r="L23" s="87" t="s">
        <v>67</v>
      </c>
      <c r="M23" s="87" t="s">
        <v>60</v>
      </c>
      <c r="N23" s="88" t="s">
        <v>78</v>
      </c>
    </row>
    <row r="24" spans="1:14">
      <c r="A24" s="81">
        <v>45315</v>
      </c>
      <c r="B24" s="82" t="s">
        <v>92</v>
      </c>
      <c r="C24" s="82" t="s">
        <v>31</v>
      </c>
      <c r="D24" s="82" t="s">
        <v>37</v>
      </c>
      <c r="E24" s="82" t="s">
        <v>47</v>
      </c>
      <c r="F24" s="83">
        <v>10</v>
      </c>
      <c r="G24" s="84">
        <v>123.24</v>
      </c>
      <c r="H24" s="85">
        <v>0</v>
      </c>
      <c r="I24" s="86">
        <f t="shared" si="0"/>
        <v>1232.3999999999999</v>
      </c>
      <c r="J24" s="86">
        <v>566.9</v>
      </c>
      <c r="K24" s="86">
        <f t="shared" si="1"/>
        <v>665.49999999999989</v>
      </c>
      <c r="L24" s="87" t="s">
        <v>59</v>
      </c>
      <c r="M24" s="87" t="s">
        <v>68</v>
      </c>
      <c r="N24" s="88" t="s">
        <v>71</v>
      </c>
    </row>
    <row r="25" spans="1:14">
      <c r="A25" s="81">
        <v>45316</v>
      </c>
      <c r="B25" s="82" t="s">
        <v>93</v>
      </c>
      <c r="C25" s="82" t="s">
        <v>36</v>
      </c>
      <c r="D25" s="82" t="s">
        <v>32</v>
      </c>
      <c r="E25" s="82" t="s">
        <v>46</v>
      </c>
      <c r="F25" s="83">
        <v>11</v>
      </c>
      <c r="G25" s="84">
        <v>97.77</v>
      </c>
      <c r="H25" s="85">
        <v>0</v>
      </c>
      <c r="I25" s="86">
        <f t="shared" si="0"/>
        <v>1075.47</v>
      </c>
      <c r="J25" s="86">
        <v>516.23</v>
      </c>
      <c r="K25" s="86">
        <f t="shared" si="1"/>
        <v>559.24</v>
      </c>
      <c r="L25" s="87" t="s">
        <v>59</v>
      </c>
      <c r="M25" s="87" t="s">
        <v>68</v>
      </c>
      <c r="N25" s="88" t="s">
        <v>65</v>
      </c>
    </row>
    <row r="26" spans="1:14">
      <c r="A26" s="81">
        <v>45316</v>
      </c>
      <c r="B26" s="82" t="s">
        <v>94</v>
      </c>
      <c r="C26" s="82" t="s">
        <v>26</v>
      </c>
      <c r="D26" s="82" t="s">
        <v>37</v>
      </c>
      <c r="E26" s="82" t="s">
        <v>47</v>
      </c>
      <c r="F26" s="83">
        <v>2</v>
      </c>
      <c r="G26" s="84">
        <v>116.95</v>
      </c>
      <c r="H26" s="85">
        <v>0</v>
      </c>
      <c r="I26" s="86">
        <f t="shared" si="0"/>
        <v>233.9</v>
      </c>
      <c r="J26" s="86">
        <v>107.59</v>
      </c>
      <c r="K26" s="86">
        <f t="shared" si="1"/>
        <v>126.31</v>
      </c>
      <c r="L26" s="87" t="s">
        <v>67</v>
      </c>
      <c r="M26" s="87" t="s">
        <v>60</v>
      </c>
      <c r="N26" s="88" t="s">
        <v>61</v>
      </c>
    </row>
    <row r="27" spans="1:14">
      <c r="A27" s="81">
        <v>45318</v>
      </c>
      <c r="B27" s="82" t="s">
        <v>95</v>
      </c>
      <c r="C27" s="82" t="s">
        <v>40</v>
      </c>
      <c r="D27" s="82" t="s">
        <v>27</v>
      </c>
      <c r="E27" s="82" t="s">
        <v>35</v>
      </c>
      <c r="F27" s="83">
        <v>7</v>
      </c>
      <c r="G27" s="84">
        <v>347.84</v>
      </c>
      <c r="H27" s="85">
        <v>0.12</v>
      </c>
      <c r="I27" s="86">
        <f t="shared" si="0"/>
        <v>2142.6943999999999</v>
      </c>
      <c r="J27" s="86">
        <v>1460.93</v>
      </c>
      <c r="K27" s="86">
        <f t="shared" si="1"/>
        <v>681.7643999999998</v>
      </c>
      <c r="L27" s="87" t="s">
        <v>63</v>
      </c>
      <c r="M27" s="87" t="s">
        <v>64</v>
      </c>
      <c r="N27" s="88" t="s">
        <v>69</v>
      </c>
    </row>
    <row r="28" spans="1:14">
      <c r="A28" s="81">
        <v>45319</v>
      </c>
      <c r="B28" s="82" t="s">
        <v>96</v>
      </c>
      <c r="C28" s="82" t="s">
        <v>40</v>
      </c>
      <c r="D28" s="82" t="s">
        <v>27</v>
      </c>
      <c r="E28" s="82" t="s">
        <v>30</v>
      </c>
      <c r="F28" s="83">
        <v>3</v>
      </c>
      <c r="G28" s="84">
        <v>641.71</v>
      </c>
      <c r="H28" s="85">
        <v>0</v>
      </c>
      <c r="I28" s="86">
        <f t="shared" si="0"/>
        <v>1925.13</v>
      </c>
      <c r="J28" s="86">
        <v>1232.08</v>
      </c>
      <c r="K28" s="86">
        <f t="shared" si="1"/>
        <v>693.05000000000018</v>
      </c>
      <c r="L28" s="87" t="s">
        <v>67</v>
      </c>
      <c r="M28" s="87" t="s">
        <v>60</v>
      </c>
      <c r="N28" s="88" t="s">
        <v>74</v>
      </c>
    </row>
    <row r="29" spans="1:14">
      <c r="A29" s="81">
        <v>45320</v>
      </c>
      <c r="B29" s="82" t="s">
        <v>97</v>
      </c>
      <c r="C29" s="82" t="s">
        <v>40</v>
      </c>
      <c r="D29" s="82" t="s">
        <v>27</v>
      </c>
      <c r="E29" s="82" t="s">
        <v>30</v>
      </c>
      <c r="F29" s="83">
        <v>11</v>
      </c>
      <c r="G29" s="84">
        <v>618.23</v>
      </c>
      <c r="H29" s="85">
        <v>0.08</v>
      </c>
      <c r="I29" s="86">
        <f t="shared" si="0"/>
        <v>6256.4876000000013</v>
      </c>
      <c r="J29" s="86">
        <v>4352.34</v>
      </c>
      <c r="K29" s="86">
        <f t="shared" si="1"/>
        <v>1904.1476000000011</v>
      </c>
      <c r="L29" s="87" t="s">
        <v>59</v>
      </c>
      <c r="M29" s="87" t="s">
        <v>68</v>
      </c>
      <c r="N29" s="88" t="s">
        <v>71</v>
      </c>
    </row>
    <row r="30" spans="1:14">
      <c r="A30" s="81">
        <v>45321</v>
      </c>
      <c r="B30" s="82" t="s">
        <v>98</v>
      </c>
      <c r="C30" s="82" t="s">
        <v>31</v>
      </c>
      <c r="D30" s="82" t="s">
        <v>37</v>
      </c>
      <c r="E30" s="82" t="s">
        <v>47</v>
      </c>
      <c r="F30" s="83">
        <v>3</v>
      </c>
      <c r="G30" s="84">
        <v>118.28</v>
      </c>
      <c r="H30" s="85">
        <v>0.12</v>
      </c>
      <c r="I30" s="86">
        <f t="shared" si="0"/>
        <v>312.25920000000002</v>
      </c>
      <c r="J30" s="86">
        <v>163.22999999999999</v>
      </c>
      <c r="K30" s="86">
        <f t="shared" si="1"/>
        <v>149.02920000000003</v>
      </c>
      <c r="L30" s="87" t="s">
        <v>59</v>
      </c>
      <c r="M30" s="87" t="s">
        <v>60</v>
      </c>
      <c r="N30" s="88" t="s">
        <v>78</v>
      </c>
    </row>
    <row r="31" spans="1:14">
      <c r="A31" s="81">
        <v>45321</v>
      </c>
      <c r="B31" s="82" t="s">
        <v>99</v>
      </c>
      <c r="C31" s="82" t="s">
        <v>36</v>
      </c>
      <c r="D31" s="82" t="s">
        <v>37</v>
      </c>
      <c r="E31" s="82" t="s">
        <v>48</v>
      </c>
      <c r="F31" s="83">
        <v>3</v>
      </c>
      <c r="G31" s="84">
        <v>67.73</v>
      </c>
      <c r="H31" s="85">
        <v>0.08</v>
      </c>
      <c r="I31" s="86">
        <f t="shared" si="0"/>
        <v>186.9348</v>
      </c>
      <c r="J31" s="86">
        <v>85.34</v>
      </c>
      <c r="K31" s="86">
        <f t="shared" si="1"/>
        <v>101.59479999999999</v>
      </c>
      <c r="L31" s="87" t="s">
        <v>59</v>
      </c>
      <c r="M31" s="87" t="s">
        <v>68</v>
      </c>
      <c r="N31" s="88" t="s">
        <v>78</v>
      </c>
    </row>
    <row r="32" spans="1:14">
      <c r="A32" s="81">
        <v>45321</v>
      </c>
      <c r="B32" s="82" t="s">
        <v>100</v>
      </c>
      <c r="C32" s="82" t="s">
        <v>26</v>
      </c>
      <c r="D32" s="82" t="s">
        <v>37</v>
      </c>
      <c r="E32" s="82" t="s">
        <v>48</v>
      </c>
      <c r="F32" s="83">
        <v>8</v>
      </c>
      <c r="G32" s="84">
        <v>66.37</v>
      </c>
      <c r="H32" s="85">
        <v>0.05</v>
      </c>
      <c r="I32" s="86">
        <f t="shared" si="0"/>
        <v>504.41200000000003</v>
      </c>
      <c r="J32" s="86">
        <v>223</v>
      </c>
      <c r="K32" s="86">
        <f t="shared" si="1"/>
        <v>281.41200000000003</v>
      </c>
      <c r="L32" s="87" t="s">
        <v>59</v>
      </c>
      <c r="M32" s="87" t="s">
        <v>64</v>
      </c>
      <c r="N32" s="88" t="s">
        <v>61</v>
      </c>
    </row>
    <row r="33" spans="1:14">
      <c r="A33" s="81">
        <v>45321</v>
      </c>
      <c r="B33" s="82" t="s">
        <v>101</v>
      </c>
      <c r="C33" s="82" t="s">
        <v>36</v>
      </c>
      <c r="D33" s="82" t="s">
        <v>32</v>
      </c>
      <c r="E33" s="82" t="s">
        <v>39</v>
      </c>
      <c r="F33" s="83">
        <v>3</v>
      </c>
      <c r="G33" s="84">
        <v>422.38</v>
      </c>
      <c r="H33" s="85">
        <v>0.1</v>
      </c>
      <c r="I33" s="86">
        <f t="shared" si="0"/>
        <v>1140.4259999999999</v>
      </c>
      <c r="J33" s="86">
        <v>722.27</v>
      </c>
      <c r="K33" s="86">
        <f t="shared" si="1"/>
        <v>418.15599999999995</v>
      </c>
      <c r="L33" s="87" t="s">
        <v>63</v>
      </c>
      <c r="M33" s="87" t="s">
        <v>68</v>
      </c>
      <c r="N33" s="88" t="s">
        <v>65</v>
      </c>
    </row>
    <row r="34" spans="1:14">
      <c r="A34" s="81">
        <v>45322</v>
      </c>
      <c r="B34" s="82" t="s">
        <v>102</v>
      </c>
      <c r="C34" s="82" t="s">
        <v>36</v>
      </c>
      <c r="D34" s="82" t="s">
        <v>27</v>
      </c>
      <c r="E34" s="82" t="s">
        <v>30</v>
      </c>
      <c r="F34" s="83">
        <v>4</v>
      </c>
      <c r="G34" s="84">
        <v>642.53</v>
      </c>
      <c r="H34" s="85">
        <v>0</v>
      </c>
      <c r="I34" s="86">
        <f t="shared" si="0"/>
        <v>2570.12</v>
      </c>
      <c r="J34" s="86">
        <v>1644.88</v>
      </c>
      <c r="K34" s="86">
        <f t="shared" si="1"/>
        <v>925.23999999999978</v>
      </c>
      <c r="L34" s="87" t="s">
        <v>63</v>
      </c>
      <c r="M34" s="87" t="s">
        <v>60</v>
      </c>
      <c r="N34" s="88" t="s">
        <v>61</v>
      </c>
    </row>
    <row r="35" spans="1:14">
      <c r="A35" s="81">
        <v>45323</v>
      </c>
      <c r="B35" s="82" t="s">
        <v>103</v>
      </c>
      <c r="C35" s="82" t="s">
        <v>36</v>
      </c>
      <c r="D35" s="82" t="s">
        <v>27</v>
      </c>
      <c r="E35" s="82" t="s">
        <v>35</v>
      </c>
      <c r="F35" s="83">
        <v>4</v>
      </c>
      <c r="G35" s="84">
        <v>358.01</v>
      </c>
      <c r="H35" s="85">
        <v>0</v>
      </c>
      <c r="I35" s="86">
        <f t="shared" si="0"/>
        <v>1432.04</v>
      </c>
      <c r="J35" s="86">
        <v>859.22</v>
      </c>
      <c r="K35" s="86">
        <f t="shared" si="1"/>
        <v>572.81999999999994</v>
      </c>
      <c r="L35" s="87" t="s">
        <v>63</v>
      </c>
      <c r="M35" s="87" t="s">
        <v>64</v>
      </c>
      <c r="N35" s="88" t="s">
        <v>69</v>
      </c>
    </row>
    <row r="36" spans="1:14">
      <c r="A36" s="81">
        <v>45324</v>
      </c>
      <c r="B36" s="82" t="s">
        <v>104</v>
      </c>
      <c r="C36" s="82" t="s">
        <v>26</v>
      </c>
      <c r="D36" s="82" t="s">
        <v>37</v>
      </c>
      <c r="E36" s="82" t="s">
        <v>48</v>
      </c>
      <c r="F36" s="83">
        <v>7</v>
      </c>
      <c r="G36" s="84">
        <v>68.680000000000007</v>
      </c>
      <c r="H36" s="85">
        <v>0.12</v>
      </c>
      <c r="I36" s="86">
        <f t="shared" si="0"/>
        <v>423.06880000000007</v>
      </c>
      <c r="J36" s="86">
        <v>201.92</v>
      </c>
      <c r="K36" s="86">
        <f t="shared" si="1"/>
        <v>221.14880000000008</v>
      </c>
      <c r="L36" s="87" t="s">
        <v>63</v>
      </c>
      <c r="M36" s="87" t="s">
        <v>68</v>
      </c>
      <c r="N36" s="88" t="s">
        <v>78</v>
      </c>
    </row>
    <row r="37" spans="1:14">
      <c r="A37" s="81">
        <v>45325</v>
      </c>
      <c r="B37" s="82" t="s">
        <v>105</v>
      </c>
      <c r="C37" s="82" t="s">
        <v>26</v>
      </c>
      <c r="D37" s="82" t="s">
        <v>37</v>
      </c>
      <c r="E37" s="82" t="s">
        <v>47</v>
      </c>
      <c r="F37" s="83">
        <v>8</v>
      </c>
      <c r="G37" s="84">
        <v>121.83</v>
      </c>
      <c r="H37" s="85">
        <v>0.03</v>
      </c>
      <c r="I37" s="86">
        <f t="shared" si="0"/>
        <v>945.4008</v>
      </c>
      <c r="J37" s="86">
        <v>448.33</v>
      </c>
      <c r="K37" s="86">
        <f t="shared" si="1"/>
        <v>497.07080000000002</v>
      </c>
      <c r="L37" s="87" t="s">
        <v>67</v>
      </c>
      <c r="M37" s="87" t="s">
        <v>68</v>
      </c>
      <c r="N37" s="88" t="s">
        <v>74</v>
      </c>
    </row>
    <row r="38" spans="1:14">
      <c r="A38" s="81">
        <v>45326</v>
      </c>
      <c r="B38" s="82" t="s">
        <v>106</v>
      </c>
      <c r="C38" s="82" t="s">
        <v>36</v>
      </c>
      <c r="D38" s="82" t="s">
        <v>37</v>
      </c>
      <c r="E38" s="82" t="s">
        <v>47</v>
      </c>
      <c r="F38" s="83">
        <v>4</v>
      </c>
      <c r="G38" s="84">
        <v>123.48</v>
      </c>
      <c r="H38" s="85">
        <v>0</v>
      </c>
      <c r="I38" s="86">
        <f t="shared" si="0"/>
        <v>493.92</v>
      </c>
      <c r="J38" s="86">
        <v>227.2</v>
      </c>
      <c r="K38" s="86">
        <f t="shared" si="1"/>
        <v>266.72000000000003</v>
      </c>
      <c r="L38" s="87" t="s">
        <v>67</v>
      </c>
      <c r="M38" s="87" t="s">
        <v>64</v>
      </c>
      <c r="N38" s="88" t="s">
        <v>71</v>
      </c>
    </row>
    <row r="39" spans="1:14">
      <c r="A39" s="81">
        <v>45326</v>
      </c>
      <c r="B39" s="82" t="s">
        <v>107</v>
      </c>
      <c r="C39" s="82" t="s">
        <v>36</v>
      </c>
      <c r="D39" s="82" t="s">
        <v>32</v>
      </c>
      <c r="E39" s="82" t="s">
        <v>46</v>
      </c>
      <c r="F39" s="83">
        <v>8</v>
      </c>
      <c r="G39" s="84">
        <v>93.64</v>
      </c>
      <c r="H39" s="85">
        <v>0.05</v>
      </c>
      <c r="I39" s="86">
        <f t="shared" si="0"/>
        <v>711.66399999999999</v>
      </c>
      <c r="J39" s="86">
        <v>359.58</v>
      </c>
      <c r="K39" s="86">
        <f t="shared" si="1"/>
        <v>352.084</v>
      </c>
      <c r="L39" s="87" t="s">
        <v>59</v>
      </c>
      <c r="M39" s="87" t="s">
        <v>68</v>
      </c>
      <c r="N39" s="88" t="s">
        <v>65</v>
      </c>
    </row>
    <row r="40" spans="1:14">
      <c r="A40" s="81">
        <v>45327</v>
      </c>
      <c r="B40" s="82" t="s">
        <v>108</v>
      </c>
      <c r="C40" s="82" t="s">
        <v>31</v>
      </c>
      <c r="D40" s="82" t="s">
        <v>27</v>
      </c>
      <c r="E40" s="82" t="s">
        <v>25</v>
      </c>
      <c r="F40" s="83">
        <v>3</v>
      </c>
      <c r="G40" s="84">
        <v>1203.27</v>
      </c>
      <c r="H40" s="85">
        <v>0.05</v>
      </c>
      <c r="I40" s="86">
        <f t="shared" si="0"/>
        <v>3429.3194999999996</v>
      </c>
      <c r="J40" s="86">
        <v>2454.67</v>
      </c>
      <c r="K40" s="86">
        <f t="shared" si="1"/>
        <v>974.64949999999953</v>
      </c>
      <c r="L40" s="87" t="s">
        <v>63</v>
      </c>
      <c r="M40" s="87" t="s">
        <v>68</v>
      </c>
      <c r="N40" s="88" t="s">
        <v>71</v>
      </c>
    </row>
    <row r="41" spans="1:14">
      <c r="A41" s="81">
        <v>45328</v>
      </c>
      <c r="B41" s="82" t="s">
        <v>109</v>
      </c>
      <c r="C41" s="82" t="s">
        <v>31</v>
      </c>
      <c r="D41" s="82" t="s">
        <v>32</v>
      </c>
      <c r="E41" s="82" t="s">
        <v>39</v>
      </c>
      <c r="F41" s="83">
        <v>7</v>
      </c>
      <c r="G41" s="84">
        <v>436.44</v>
      </c>
      <c r="H41" s="85">
        <v>0.03</v>
      </c>
      <c r="I41" s="86">
        <f t="shared" si="0"/>
        <v>2963.4276</v>
      </c>
      <c r="J41" s="86">
        <v>1741.4</v>
      </c>
      <c r="K41" s="86">
        <f t="shared" si="1"/>
        <v>1222.0275999999999</v>
      </c>
      <c r="L41" s="87" t="s">
        <v>67</v>
      </c>
      <c r="M41" s="87" t="s">
        <v>64</v>
      </c>
      <c r="N41" s="88" t="s">
        <v>69</v>
      </c>
    </row>
    <row r="42" spans="1:14">
      <c r="A42" s="81">
        <v>45330</v>
      </c>
      <c r="B42" s="82" t="s">
        <v>110</v>
      </c>
      <c r="C42" s="82" t="s">
        <v>31</v>
      </c>
      <c r="D42" s="82" t="s">
        <v>32</v>
      </c>
      <c r="E42" s="82" t="s">
        <v>42</v>
      </c>
      <c r="F42" s="83">
        <v>10</v>
      </c>
      <c r="G42" s="84">
        <v>746.52</v>
      </c>
      <c r="H42" s="85">
        <v>0.03</v>
      </c>
      <c r="I42" s="86">
        <f t="shared" si="0"/>
        <v>7241.2439999999997</v>
      </c>
      <c r="J42" s="86">
        <v>4553.7700000000004</v>
      </c>
      <c r="K42" s="86">
        <f t="shared" si="1"/>
        <v>2687.4739999999993</v>
      </c>
      <c r="L42" s="87" t="s">
        <v>59</v>
      </c>
      <c r="M42" s="87" t="s">
        <v>68</v>
      </c>
      <c r="N42" s="88" t="s">
        <v>65</v>
      </c>
    </row>
    <row r="43" spans="1:14">
      <c r="A43" s="81">
        <v>45330</v>
      </c>
      <c r="B43" s="82" t="s">
        <v>111</v>
      </c>
      <c r="C43" s="82" t="s">
        <v>26</v>
      </c>
      <c r="D43" s="82" t="s">
        <v>37</v>
      </c>
      <c r="E43" s="82" t="s">
        <v>47</v>
      </c>
      <c r="F43" s="83">
        <v>9</v>
      </c>
      <c r="G43" s="84">
        <v>117.98</v>
      </c>
      <c r="H43" s="85">
        <v>0.12</v>
      </c>
      <c r="I43" s="86">
        <f t="shared" si="0"/>
        <v>934.40159999999992</v>
      </c>
      <c r="J43" s="86">
        <v>488.44</v>
      </c>
      <c r="K43" s="86">
        <f t="shared" si="1"/>
        <v>445.96159999999992</v>
      </c>
      <c r="L43" s="87" t="s">
        <v>63</v>
      </c>
      <c r="M43" s="87" t="s">
        <v>68</v>
      </c>
      <c r="N43" s="88" t="s">
        <v>71</v>
      </c>
    </row>
    <row r="44" spans="1:14">
      <c r="A44" s="81">
        <v>45331</v>
      </c>
      <c r="B44" s="82" t="s">
        <v>112</v>
      </c>
      <c r="C44" s="82" t="s">
        <v>26</v>
      </c>
      <c r="D44" s="82" t="s">
        <v>27</v>
      </c>
      <c r="E44" s="82" t="s">
        <v>30</v>
      </c>
      <c r="F44" s="83">
        <v>11</v>
      </c>
      <c r="G44" s="84">
        <v>597.20000000000005</v>
      </c>
      <c r="H44" s="85">
        <v>0.12</v>
      </c>
      <c r="I44" s="86">
        <f t="shared" si="0"/>
        <v>5780.8960000000006</v>
      </c>
      <c r="J44" s="86">
        <v>4204.29</v>
      </c>
      <c r="K44" s="86">
        <f t="shared" si="1"/>
        <v>1576.6060000000007</v>
      </c>
      <c r="L44" s="87" t="s">
        <v>67</v>
      </c>
      <c r="M44" s="87" t="s">
        <v>68</v>
      </c>
      <c r="N44" s="88" t="s">
        <v>61</v>
      </c>
    </row>
    <row r="45" spans="1:14">
      <c r="A45" s="81">
        <v>45331</v>
      </c>
      <c r="B45" s="82" t="s">
        <v>113</v>
      </c>
      <c r="C45" s="82" t="s">
        <v>36</v>
      </c>
      <c r="D45" s="82" t="s">
        <v>32</v>
      </c>
      <c r="E45" s="82" t="s">
        <v>39</v>
      </c>
      <c r="F45" s="83">
        <v>5</v>
      </c>
      <c r="G45" s="84">
        <v>425.86</v>
      </c>
      <c r="H45" s="85">
        <v>0.1</v>
      </c>
      <c r="I45" s="86">
        <f t="shared" si="0"/>
        <v>1916.3700000000001</v>
      </c>
      <c r="J45" s="86">
        <v>1213.7</v>
      </c>
      <c r="K45" s="86">
        <f t="shared" si="1"/>
        <v>702.67000000000007</v>
      </c>
      <c r="L45" s="87" t="s">
        <v>59</v>
      </c>
      <c r="M45" s="87" t="s">
        <v>64</v>
      </c>
      <c r="N45" s="88" t="s">
        <v>78</v>
      </c>
    </row>
    <row r="46" spans="1:14">
      <c r="A46" s="81">
        <v>45331</v>
      </c>
      <c r="B46" s="82" t="s">
        <v>114</v>
      </c>
      <c r="C46" s="82" t="s">
        <v>40</v>
      </c>
      <c r="D46" s="82" t="s">
        <v>32</v>
      </c>
      <c r="E46" s="82" t="s">
        <v>39</v>
      </c>
      <c r="F46" s="83">
        <v>8</v>
      </c>
      <c r="G46" s="84">
        <v>455.67</v>
      </c>
      <c r="H46" s="85">
        <v>0.08</v>
      </c>
      <c r="I46" s="86">
        <f t="shared" si="0"/>
        <v>3353.7312000000002</v>
      </c>
      <c r="J46" s="86">
        <v>2077.86</v>
      </c>
      <c r="K46" s="86">
        <f t="shared" si="1"/>
        <v>1275.8712</v>
      </c>
      <c r="L46" s="87" t="s">
        <v>63</v>
      </c>
      <c r="M46" s="87" t="s">
        <v>64</v>
      </c>
      <c r="N46" s="88" t="s">
        <v>61</v>
      </c>
    </row>
    <row r="47" spans="1:14">
      <c r="A47" s="81">
        <v>45331</v>
      </c>
      <c r="B47" s="82" t="s">
        <v>115</v>
      </c>
      <c r="C47" s="82" t="s">
        <v>26</v>
      </c>
      <c r="D47" s="82" t="s">
        <v>37</v>
      </c>
      <c r="E47" s="82" t="s">
        <v>48</v>
      </c>
      <c r="F47" s="83">
        <v>4</v>
      </c>
      <c r="G47" s="84">
        <v>65.77</v>
      </c>
      <c r="H47" s="85">
        <v>0.05</v>
      </c>
      <c r="I47" s="86">
        <f t="shared" si="0"/>
        <v>249.92599999999996</v>
      </c>
      <c r="J47" s="86">
        <v>110.49</v>
      </c>
      <c r="K47" s="86">
        <f t="shared" si="1"/>
        <v>139.43599999999998</v>
      </c>
      <c r="L47" s="87" t="s">
        <v>67</v>
      </c>
      <c r="M47" s="87" t="s">
        <v>60</v>
      </c>
      <c r="N47" s="88" t="s">
        <v>65</v>
      </c>
    </row>
    <row r="48" spans="1:14">
      <c r="A48" s="81">
        <v>45331</v>
      </c>
      <c r="B48" s="82" t="s">
        <v>116</v>
      </c>
      <c r="C48" s="82" t="s">
        <v>40</v>
      </c>
      <c r="D48" s="82" t="s">
        <v>27</v>
      </c>
      <c r="E48" s="82" t="s">
        <v>35</v>
      </c>
      <c r="F48" s="83">
        <v>5</v>
      </c>
      <c r="G48" s="84">
        <v>367.71</v>
      </c>
      <c r="H48" s="85">
        <v>0.1</v>
      </c>
      <c r="I48" s="86">
        <f t="shared" si="0"/>
        <v>1654.6949999999999</v>
      </c>
      <c r="J48" s="86">
        <v>1103.1300000000001</v>
      </c>
      <c r="K48" s="86">
        <f t="shared" si="1"/>
        <v>551.56499999999983</v>
      </c>
      <c r="L48" s="87" t="s">
        <v>63</v>
      </c>
      <c r="M48" s="87" t="s">
        <v>68</v>
      </c>
      <c r="N48" s="88" t="s">
        <v>74</v>
      </c>
    </row>
    <row r="49" spans="1:14">
      <c r="A49" s="81">
        <v>45331</v>
      </c>
      <c r="B49" s="82" t="s">
        <v>117</v>
      </c>
      <c r="C49" s="82" t="s">
        <v>36</v>
      </c>
      <c r="D49" s="82" t="s">
        <v>32</v>
      </c>
      <c r="E49" s="82" t="s">
        <v>39</v>
      </c>
      <c r="F49" s="83">
        <v>5</v>
      </c>
      <c r="G49" s="84">
        <v>415.16</v>
      </c>
      <c r="H49" s="85">
        <v>0.08</v>
      </c>
      <c r="I49" s="86">
        <f t="shared" si="0"/>
        <v>1909.7360000000003</v>
      </c>
      <c r="J49" s="86">
        <v>1183.21</v>
      </c>
      <c r="K49" s="86">
        <f t="shared" si="1"/>
        <v>726.52600000000029</v>
      </c>
      <c r="L49" s="87" t="s">
        <v>67</v>
      </c>
      <c r="M49" s="87" t="s">
        <v>68</v>
      </c>
      <c r="N49" s="88" t="s">
        <v>71</v>
      </c>
    </row>
    <row r="50" spans="1:14">
      <c r="A50" s="81">
        <v>45332</v>
      </c>
      <c r="B50" s="82" t="s">
        <v>118</v>
      </c>
      <c r="C50" s="82" t="s">
        <v>36</v>
      </c>
      <c r="D50" s="82" t="s">
        <v>32</v>
      </c>
      <c r="E50" s="82" t="s">
        <v>39</v>
      </c>
      <c r="F50" s="83">
        <v>8</v>
      </c>
      <c r="G50" s="84">
        <v>426.11</v>
      </c>
      <c r="H50" s="85">
        <v>0.08</v>
      </c>
      <c r="I50" s="86">
        <f t="shared" si="0"/>
        <v>3136.1696000000002</v>
      </c>
      <c r="J50" s="86">
        <v>1943.06</v>
      </c>
      <c r="K50" s="86">
        <f t="shared" si="1"/>
        <v>1193.1096000000002</v>
      </c>
      <c r="L50" s="87" t="s">
        <v>59</v>
      </c>
      <c r="M50" s="87" t="s">
        <v>68</v>
      </c>
      <c r="N50" s="88" t="s">
        <v>74</v>
      </c>
    </row>
    <row r="51" spans="1:14">
      <c r="A51" s="81">
        <v>45333</v>
      </c>
      <c r="B51" s="82" t="s">
        <v>119</v>
      </c>
      <c r="C51" s="82" t="s">
        <v>31</v>
      </c>
      <c r="D51" s="82" t="s">
        <v>27</v>
      </c>
      <c r="E51" s="82" t="s">
        <v>35</v>
      </c>
      <c r="F51" s="83">
        <v>4</v>
      </c>
      <c r="G51" s="84">
        <v>367.62</v>
      </c>
      <c r="H51" s="85">
        <v>0</v>
      </c>
      <c r="I51" s="86">
        <f t="shared" si="0"/>
        <v>1470.48</v>
      </c>
      <c r="J51" s="86">
        <v>882.29</v>
      </c>
      <c r="K51" s="86">
        <f t="shared" si="1"/>
        <v>588.19000000000005</v>
      </c>
      <c r="L51" s="87" t="s">
        <v>59</v>
      </c>
      <c r="M51" s="87" t="s">
        <v>68</v>
      </c>
      <c r="N51" s="88" t="s">
        <v>65</v>
      </c>
    </row>
    <row r="52" spans="1:14">
      <c r="A52" s="81">
        <v>45333</v>
      </c>
      <c r="B52" s="82" t="s">
        <v>120</v>
      </c>
      <c r="C52" s="82" t="s">
        <v>36</v>
      </c>
      <c r="D52" s="82" t="s">
        <v>27</v>
      </c>
      <c r="E52" s="82" t="s">
        <v>25</v>
      </c>
      <c r="F52" s="83">
        <v>4</v>
      </c>
      <c r="G52" s="84">
        <v>1238.6199999999999</v>
      </c>
      <c r="H52" s="85">
        <v>0.05</v>
      </c>
      <c r="I52" s="86">
        <f t="shared" si="0"/>
        <v>4706.7559999999994</v>
      </c>
      <c r="J52" s="86">
        <v>3369.05</v>
      </c>
      <c r="K52" s="86">
        <f t="shared" si="1"/>
        <v>1337.7059999999992</v>
      </c>
      <c r="L52" s="87" t="s">
        <v>67</v>
      </c>
      <c r="M52" s="87" t="s">
        <v>60</v>
      </c>
      <c r="N52" s="88" t="s">
        <v>74</v>
      </c>
    </row>
    <row r="53" spans="1:14">
      <c r="A53" s="81">
        <v>45334</v>
      </c>
      <c r="B53" s="82" t="s">
        <v>121</v>
      </c>
      <c r="C53" s="82" t="s">
        <v>36</v>
      </c>
      <c r="D53" s="82" t="s">
        <v>27</v>
      </c>
      <c r="E53" s="82" t="s">
        <v>30</v>
      </c>
      <c r="F53" s="83">
        <v>4</v>
      </c>
      <c r="G53" s="84">
        <v>605.69000000000005</v>
      </c>
      <c r="H53" s="85">
        <v>0.1</v>
      </c>
      <c r="I53" s="86">
        <f t="shared" si="0"/>
        <v>2180.4840000000004</v>
      </c>
      <c r="J53" s="86">
        <v>1550.57</v>
      </c>
      <c r="K53" s="86">
        <f t="shared" si="1"/>
        <v>629.91400000000044</v>
      </c>
      <c r="L53" s="87" t="s">
        <v>63</v>
      </c>
      <c r="M53" s="87" t="s">
        <v>64</v>
      </c>
      <c r="N53" s="88" t="s">
        <v>71</v>
      </c>
    </row>
    <row r="54" spans="1:14">
      <c r="A54" s="81">
        <v>45334</v>
      </c>
      <c r="B54" s="82" t="s">
        <v>122</v>
      </c>
      <c r="C54" s="82" t="s">
        <v>36</v>
      </c>
      <c r="D54" s="82" t="s">
        <v>32</v>
      </c>
      <c r="E54" s="82" t="s">
        <v>39</v>
      </c>
      <c r="F54" s="83">
        <v>6</v>
      </c>
      <c r="G54" s="84">
        <v>428.32</v>
      </c>
      <c r="H54" s="85">
        <v>0.08</v>
      </c>
      <c r="I54" s="86">
        <f t="shared" si="0"/>
        <v>2364.3264000000004</v>
      </c>
      <c r="J54" s="86">
        <v>1464.85</v>
      </c>
      <c r="K54" s="86">
        <f t="shared" si="1"/>
        <v>899.47640000000047</v>
      </c>
      <c r="L54" s="87" t="s">
        <v>63</v>
      </c>
      <c r="M54" s="87" t="s">
        <v>60</v>
      </c>
      <c r="N54" s="88" t="s">
        <v>74</v>
      </c>
    </row>
    <row r="55" spans="1:14">
      <c r="A55" s="81">
        <v>45334</v>
      </c>
      <c r="B55" s="82" t="s">
        <v>123</v>
      </c>
      <c r="C55" s="82" t="s">
        <v>31</v>
      </c>
      <c r="D55" s="82" t="s">
        <v>27</v>
      </c>
      <c r="E55" s="82" t="s">
        <v>30</v>
      </c>
      <c r="F55" s="83">
        <v>2</v>
      </c>
      <c r="G55" s="84">
        <v>641.89</v>
      </c>
      <c r="H55" s="85">
        <v>0.1</v>
      </c>
      <c r="I55" s="86">
        <f t="shared" si="0"/>
        <v>1155.402</v>
      </c>
      <c r="J55" s="86">
        <v>821.62</v>
      </c>
      <c r="K55" s="86">
        <f t="shared" si="1"/>
        <v>333.78200000000004</v>
      </c>
      <c r="L55" s="87" t="s">
        <v>63</v>
      </c>
      <c r="M55" s="87" t="s">
        <v>64</v>
      </c>
      <c r="N55" s="88" t="s">
        <v>78</v>
      </c>
    </row>
    <row r="56" spans="1:14">
      <c r="A56" s="81">
        <v>45336</v>
      </c>
      <c r="B56" s="82" t="s">
        <v>124</v>
      </c>
      <c r="C56" s="82" t="s">
        <v>31</v>
      </c>
      <c r="D56" s="82" t="s">
        <v>37</v>
      </c>
      <c r="E56" s="82" t="s">
        <v>47</v>
      </c>
      <c r="F56" s="83">
        <v>3</v>
      </c>
      <c r="G56" s="84">
        <v>126.15</v>
      </c>
      <c r="H56" s="85">
        <v>0.12</v>
      </c>
      <c r="I56" s="86">
        <f t="shared" si="0"/>
        <v>333.03600000000006</v>
      </c>
      <c r="J56" s="86">
        <v>174.09</v>
      </c>
      <c r="K56" s="86">
        <f t="shared" si="1"/>
        <v>158.94600000000005</v>
      </c>
      <c r="L56" s="87" t="s">
        <v>59</v>
      </c>
      <c r="M56" s="87" t="s">
        <v>68</v>
      </c>
      <c r="N56" s="88" t="s">
        <v>78</v>
      </c>
    </row>
    <row r="57" spans="1:14">
      <c r="A57" s="81">
        <v>45337</v>
      </c>
      <c r="B57" s="82" t="s">
        <v>125</v>
      </c>
      <c r="C57" s="82" t="s">
        <v>36</v>
      </c>
      <c r="D57" s="82" t="s">
        <v>37</v>
      </c>
      <c r="E57" s="82" t="s">
        <v>48</v>
      </c>
      <c r="F57" s="83">
        <v>3</v>
      </c>
      <c r="G57" s="84">
        <v>70.45</v>
      </c>
      <c r="H57" s="85">
        <v>0.08</v>
      </c>
      <c r="I57" s="86">
        <f t="shared" si="0"/>
        <v>194.44200000000004</v>
      </c>
      <c r="J57" s="86">
        <v>88.77</v>
      </c>
      <c r="K57" s="86">
        <f t="shared" si="1"/>
        <v>105.67200000000004</v>
      </c>
      <c r="L57" s="87" t="s">
        <v>59</v>
      </c>
      <c r="M57" s="87" t="s">
        <v>68</v>
      </c>
      <c r="N57" s="88" t="s">
        <v>65</v>
      </c>
    </row>
    <row r="58" spans="1:14">
      <c r="A58" s="81">
        <v>45338</v>
      </c>
      <c r="B58" s="82" t="s">
        <v>126</v>
      </c>
      <c r="C58" s="82" t="s">
        <v>31</v>
      </c>
      <c r="D58" s="82" t="s">
        <v>27</v>
      </c>
      <c r="E58" s="82" t="s">
        <v>30</v>
      </c>
      <c r="F58" s="83">
        <v>4</v>
      </c>
      <c r="G58" s="84">
        <v>621.92999999999995</v>
      </c>
      <c r="H58" s="85">
        <v>0</v>
      </c>
      <c r="I58" s="86">
        <f t="shared" si="0"/>
        <v>2487.7199999999998</v>
      </c>
      <c r="J58" s="86">
        <v>1592.14</v>
      </c>
      <c r="K58" s="86">
        <f t="shared" si="1"/>
        <v>895.5799999999997</v>
      </c>
      <c r="L58" s="87" t="s">
        <v>59</v>
      </c>
      <c r="M58" s="87" t="s">
        <v>60</v>
      </c>
      <c r="N58" s="88" t="s">
        <v>71</v>
      </c>
    </row>
    <row r="59" spans="1:14">
      <c r="A59" s="81">
        <v>45339</v>
      </c>
      <c r="B59" s="82" t="s">
        <v>127</v>
      </c>
      <c r="C59" s="82" t="s">
        <v>31</v>
      </c>
      <c r="D59" s="82" t="s">
        <v>32</v>
      </c>
      <c r="E59" s="82" t="s">
        <v>46</v>
      </c>
      <c r="F59" s="83">
        <v>8</v>
      </c>
      <c r="G59" s="84">
        <v>100.44</v>
      </c>
      <c r="H59" s="85">
        <v>0.1</v>
      </c>
      <c r="I59" s="86">
        <f t="shared" si="0"/>
        <v>723.16800000000001</v>
      </c>
      <c r="J59" s="86">
        <v>385.69</v>
      </c>
      <c r="K59" s="86">
        <f t="shared" si="1"/>
        <v>337.47800000000001</v>
      </c>
      <c r="L59" s="87" t="s">
        <v>67</v>
      </c>
      <c r="M59" s="87" t="s">
        <v>60</v>
      </c>
      <c r="N59" s="88" t="s">
        <v>71</v>
      </c>
    </row>
    <row r="60" spans="1:14">
      <c r="A60" s="81">
        <v>45339</v>
      </c>
      <c r="B60" s="82" t="s">
        <v>128</v>
      </c>
      <c r="C60" s="82" t="s">
        <v>31</v>
      </c>
      <c r="D60" s="82" t="s">
        <v>37</v>
      </c>
      <c r="E60" s="82" t="s">
        <v>48</v>
      </c>
      <c r="F60" s="83">
        <v>9</v>
      </c>
      <c r="G60" s="84">
        <v>66.64</v>
      </c>
      <c r="H60" s="85">
        <v>0.1</v>
      </c>
      <c r="I60" s="86">
        <f t="shared" si="0"/>
        <v>539.78399999999999</v>
      </c>
      <c r="J60" s="86">
        <v>251.9</v>
      </c>
      <c r="K60" s="86">
        <f t="shared" si="1"/>
        <v>287.88400000000001</v>
      </c>
      <c r="L60" s="87" t="s">
        <v>67</v>
      </c>
      <c r="M60" s="87" t="s">
        <v>68</v>
      </c>
      <c r="N60" s="88" t="s">
        <v>69</v>
      </c>
    </row>
    <row r="61" spans="1:14">
      <c r="A61" s="81">
        <v>45340</v>
      </c>
      <c r="B61" s="82" t="s">
        <v>129</v>
      </c>
      <c r="C61" s="82" t="s">
        <v>40</v>
      </c>
      <c r="D61" s="82" t="s">
        <v>37</v>
      </c>
      <c r="E61" s="82" t="s">
        <v>48</v>
      </c>
      <c r="F61" s="83">
        <v>2</v>
      </c>
      <c r="G61" s="84">
        <v>68.45</v>
      </c>
      <c r="H61" s="85">
        <v>0.08</v>
      </c>
      <c r="I61" s="86">
        <f t="shared" si="0"/>
        <v>125.94800000000001</v>
      </c>
      <c r="J61" s="86">
        <v>57.5</v>
      </c>
      <c r="K61" s="86">
        <f t="shared" si="1"/>
        <v>68.448000000000008</v>
      </c>
      <c r="L61" s="87" t="s">
        <v>67</v>
      </c>
      <c r="M61" s="87" t="s">
        <v>64</v>
      </c>
      <c r="N61" s="88" t="s">
        <v>69</v>
      </c>
    </row>
    <row r="62" spans="1:14">
      <c r="A62" s="81">
        <v>45340</v>
      </c>
      <c r="B62" s="82" t="s">
        <v>130</v>
      </c>
      <c r="C62" s="82" t="s">
        <v>36</v>
      </c>
      <c r="D62" s="82" t="s">
        <v>32</v>
      </c>
      <c r="E62" s="82" t="s">
        <v>42</v>
      </c>
      <c r="F62" s="83">
        <v>3</v>
      </c>
      <c r="G62" s="84">
        <v>759.63</v>
      </c>
      <c r="H62" s="85">
        <v>0.12</v>
      </c>
      <c r="I62" s="86">
        <f t="shared" si="0"/>
        <v>2005.4232</v>
      </c>
      <c r="J62" s="86">
        <v>1390.12</v>
      </c>
      <c r="K62" s="86">
        <f t="shared" si="1"/>
        <v>615.30320000000006</v>
      </c>
      <c r="L62" s="87" t="s">
        <v>59</v>
      </c>
      <c r="M62" s="87" t="s">
        <v>60</v>
      </c>
      <c r="N62" s="88" t="s">
        <v>78</v>
      </c>
    </row>
    <row r="63" spans="1:14">
      <c r="A63" s="81">
        <v>45341</v>
      </c>
      <c r="B63" s="82" t="s">
        <v>131</v>
      </c>
      <c r="C63" s="82" t="s">
        <v>36</v>
      </c>
      <c r="D63" s="82" t="s">
        <v>37</v>
      </c>
      <c r="E63" s="82" t="s">
        <v>48</v>
      </c>
      <c r="F63" s="83">
        <v>5</v>
      </c>
      <c r="G63" s="84">
        <v>67.790000000000006</v>
      </c>
      <c r="H63" s="85">
        <v>0.08</v>
      </c>
      <c r="I63" s="86">
        <f t="shared" si="0"/>
        <v>311.83400000000006</v>
      </c>
      <c r="J63" s="86">
        <v>142.36000000000001</v>
      </c>
      <c r="K63" s="86">
        <f t="shared" si="1"/>
        <v>169.47400000000005</v>
      </c>
      <c r="L63" s="87" t="s">
        <v>59</v>
      </c>
      <c r="M63" s="87" t="s">
        <v>60</v>
      </c>
      <c r="N63" s="88" t="s">
        <v>61</v>
      </c>
    </row>
    <row r="64" spans="1:14">
      <c r="A64" s="81">
        <v>45341</v>
      </c>
      <c r="B64" s="82" t="s">
        <v>132</v>
      </c>
      <c r="C64" s="82" t="s">
        <v>40</v>
      </c>
      <c r="D64" s="82" t="s">
        <v>37</v>
      </c>
      <c r="E64" s="82" t="s">
        <v>47</v>
      </c>
      <c r="F64" s="83">
        <v>5</v>
      </c>
      <c r="G64" s="84">
        <v>118.86</v>
      </c>
      <c r="H64" s="85">
        <v>0</v>
      </c>
      <c r="I64" s="86">
        <f t="shared" si="0"/>
        <v>594.29999999999995</v>
      </c>
      <c r="J64" s="86">
        <v>273.38</v>
      </c>
      <c r="K64" s="86">
        <f t="shared" si="1"/>
        <v>320.91999999999996</v>
      </c>
      <c r="L64" s="87" t="s">
        <v>59</v>
      </c>
      <c r="M64" s="87" t="s">
        <v>60</v>
      </c>
      <c r="N64" s="88" t="s">
        <v>69</v>
      </c>
    </row>
    <row r="65" spans="1:14">
      <c r="A65" s="81">
        <v>45342</v>
      </c>
      <c r="B65" s="82" t="s">
        <v>133</v>
      </c>
      <c r="C65" s="82" t="s">
        <v>40</v>
      </c>
      <c r="D65" s="82" t="s">
        <v>27</v>
      </c>
      <c r="E65" s="82" t="s">
        <v>25</v>
      </c>
      <c r="F65" s="83">
        <v>2</v>
      </c>
      <c r="G65" s="84">
        <v>1139.55</v>
      </c>
      <c r="H65" s="85">
        <v>0.1</v>
      </c>
      <c r="I65" s="86">
        <f t="shared" si="0"/>
        <v>2051.19</v>
      </c>
      <c r="J65" s="86">
        <v>1549.79</v>
      </c>
      <c r="K65" s="86">
        <f t="shared" si="1"/>
        <v>501.40000000000009</v>
      </c>
      <c r="L65" s="87" t="s">
        <v>59</v>
      </c>
      <c r="M65" s="87" t="s">
        <v>64</v>
      </c>
      <c r="N65" s="88" t="s">
        <v>74</v>
      </c>
    </row>
    <row r="66" spans="1:14">
      <c r="A66" s="81">
        <v>45342</v>
      </c>
      <c r="B66" s="82" t="s">
        <v>134</v>
      </c>
      <c r="C66" s="82" t="s">
        <v>31</v>
      </c>
      <c r="D66" s="82" t="s">
        <v>32</v>
      </c>
      <c r="E66" s="82" t="s">
        <v>42</v>
      </c>
      <c r="F66" s="83">
        <v>4</v>
      </c>
      <c r="G66" s="84">
        <v>797.34</v>
      </c>
      <c r="H66" s="85">
        <v>0.05</v>
      </c>
      <c r="I66" s="86">
        <f t="shared" ref="I66:I129" si="2">F66*G66*(1-H66)</f>
        <v>3029.8919999999998</v>
      </c>
      <c r="J66" s="86">
        <v>1945.51</v>
      </c>
      <c r="K66" s="86">
        <f t="shared" ref="K66:K129" si="3">I66-J66</f>
        <v>1084.3819999999998</v>
      </c>
      <c r="L66" s="87" t="s">
        <v>59</v>
      </c>
      <c r="M66" s="87" t="s">
        <v>68</v>
      </c>
      <c r="N66" s="88" t="s">
        <v>78</v>
      </c>
    </row>
    <row r="67" spans="1:14">
      <c r="A67" s="81">
        <v>45342</v>
      </c>
      <c r="B67" s="82" t="s">
        <v>135</v>
      </c>
      <c r="C67" s="82" t="s">
        <v>36</v>
      </c>
      <c r="D67" s="82" t="s">
        <v>37</v>
      </c>
      <c r="E67" s="82" t="s">
        <v>48</v>
      </c>
      <c r="F67" s="83">
        <v>7</v>
      </c>
      <c r="G67" s="84">
        <v>67.709999999999994</v>
      </c>
      <c r="H67" s="85">
        <v>0.1</v>
      </c>
      <c r="I67" s="86">
        <f t="shared" si="2"/>
        <v>426.57299999999998</v>
      </c>
      <c r="J67" s="86">
        <v>199.07</v>
      </c>
      <c r="K67" s="86">
        <f t="shared" si="3"/>
        <v>227.50299999999999</v>
      </c>
      <c r="L67" s="87" t="s">
        <v>59</v>
      </c>
      <c r="M67" s="87" t="s">
        <v>60</v>
      </c>
      <c r="N67" s="88" t="s">
        <v>71</v>
      </c>
    </row>
    <row r="68" spans="1:14">
      <c r="A68" s="81">
        <v>45343</v>
      </c>
      <c r="B68" s="82" t="s">
        <v>136</v>
      </c>
      <c r="C68" s="82" t="s">
        <v>31</v>
      </c>
      <c r="D68" s="82" t="s">
        <v>32</v>
      </c>
      <c r="E68" s="82" t="s">
        <v>46</v>
      </c>
      <c r="F68" s="83">
        <v>5</v>
      </c>
      <c r="G68" s="84">
        <v>100.59</v>
      </c>
      <c r="H68" s="85">
        <v>0.08</v>
      </c>
      <c r="I68" s="86">
        <f t="shared" si="2"/>
        <v>462.71400000000006</v>
      </c>
      <c r="J68" s="86">
        <v>241.42</v>
      </c>
      <c r="K68" s="86">
        <f t="shared" si="3"/>
        <v>221.29400000000007</v>
      </c>
      <c r="L68" s="87" t="s">
        <v>67</v>
      </c>
      <c r="M68" s="87" t="s">
        <v>60</v>
      </c>
      <c r="N68" s="88" t="s">
        <v>65</v>
      </c>
    </row>
    <row r="69" spans="1:14">
      <c r="A69" s="81">
        <v>45344</v>
      </c>
      <c r="B69" s="82" t="s">
        <v>137</v>
      </c>
      <c r="C69" s="82" t="s">
        <v>31</v>
      </c>
      <c r="D69" s="82" t="s">
        <v>27</v>
      </c>
      <c r="E69" s="82" t="s">
        <v>25</v>
      </c>
      <c r="F69" s="83">
        <v>5</v>
      </c>
      <c r="G69" s="84">
        <v>1142.3599999999999</v>
      </c>
      <c r="H69" s="85">
        <v>0</v>
      </c>
      <c r="I69" s="86">
        <f t="shared" si="2"/>
        <v>5711.7999999999993</v>
      </c>
      <c r="J69" s="86">
        <v>3884.02</v>
      </c>
      <c r="K69" s="86">
        <f t="shared" si="3"/>
        <v>1827.7799999999993</v>
      </c>
      <c r="L69" s="87" t="s">
        <v>59</v>
      </c>
      <c r="M69" s="87" t="s">
        <v>60</v>
      </c>
      <c r="N69" s="88" t="s">
        <v>74</v>
      </c>
    </row>
    <row r="70" spans="1:14">
      <c r="A70" s="81">
        <v>45344</v>
      </c>
      <c r="B70" s="82" t="s">
        <v>138</v>
      </c>
      <c r="C70" s="82" t="s">
        <v>26</v>
      </c>
      <c r="D70" s="82" t="s">
        <v>27</v>
      </c>
      <c r="E70" s="82" t="s">
        <v>35</v>
      </c>
      <c r="F70" s="83">
        <v>5</v>
      </c>
      <c r="G70" s="84">
        <v>379.24</v>
      </c>
      <c r="H70" s="85">
        <v>0.03</v>
      </c>
      <c r="I70" s="86">
        <f t="shared" si="2"/>
        <v>1839.3140000000001</v>
      </c>
      <c r="J70" s="86">
        <v>1137.72</v>
      </c>
      <c r="K70" s="86">
        <f t="shared" si="3"/>
        <v>701.59400000000005</v>
      </c>
      <c r="L70" s="87" t="s">
        <v>59</v>
      </c>
      <c r="M70" s="87" t="s">
        <v>64</v>
      </c>
      <c r="N70" s="88" t="s">
        <v>78</v>
      </c>
    </row>
    <row r="71" spans="1:14">
      <c r="A71" s="81">
        <v>45345</v>
      </c>
      <c r="B71" s="82" t="s">
        <v>139</v>
      </c>
      <c r="C71" s="82" t="s">
        <v>26</v>
      </c>
      <c r="D71" s="82" t="s">
        <v>27</v>
      </c>
      <c r="E71" s="82" t="s">
        <v>35</v>
      </c>
      <c r="F71" s="83">
        <v>7</v>
      </c>
      <c r="G71" s="84">
        <v>368.88</v>
      </c>
      <c r="H71" s="85">
        <v>0</v>
      </c>
      <c r="I71" s="86">
        <f t="shared" si="2"/>
        <v>2582.16</v>
      </c>
      <c r="J71" s="86">
        <v>1549.3</v>
      </c>
      <c r="K71" s="86">
        <f t="shared" si="3"/>
        <v>1032.8599999999999</v>
      </c>
      <c r="L71" s="87" t="s">
        <v>63</v>
      </c>
      <c r="M71" s="87" t="s">
        <v>60</v>
      </c>
      <c r="N71" s="88" t="s">
        <v>71</v>
      </c>
    </row>
    <row r="72" spans="1:14">
      <c r="A72" s="81">
        <v>45346</v>
      </c>
      <c r="B72" s="82" t="s">
        <v>140</v>
      </c>
      <c r="C72" s="82" t="s">
        <v>36</v>
      </c>
      <c r="D72" s="82" t="s">
        <v>37</v>
      </c>
      <c r="E72" s="82" t="s">
        <v>48</v>
      </c>
      <c r="F72" s="83">
        <v>8</v>
      </c>
      <c r="G72" s="84">
        <v>69.09</v>
      </c>
      <c r="H72" s="85">
        <v>0</v>
      </c>
      <c r="I72" s="86">
        <f t="shared" si="2"/>
        <v>552.72</v>
      </c>
      <c r="J72" s="86">
        <v>232.14</v>
      </c>
      <c r="K72" s="86">
        <f t="shared" si="3"/>
        <v>320.58000000000004</v>
      </c>
      <c r="L72" s="87" t="s">
        <v>63</v>
      </c>
      <c r="M72" s="87" t="s">
        <v>60</v>
      </c>
      <c r="N72" s="88" t="s">
        <v>74</v>
      </c>
    </row>
    <row r="73" spans="1:14">
      <c r="A73" s="81">
        <v>45347</v>
      </c>
      <c r="B73" s="82" t="s">
        <v>141</v>
      </c>
      <c r="C73" s="82" t="s">
        <v>36</v>
      </c>
      <c r="D73" s="82" t="s">
        <v>32</v>
      </c>
      <c r="E73" s="82" t="s">
        <v>42</v>
      </c>
      <c r="F73" s="83">
        <v>2</v>
      </c>
      <c r="G73" s="84">
        <v>781.81</v>
      </c>
      <c r="H73" s="85">
        <v>0.08</v>
      </c>
      <c r="I73" s="86">
        <f t="shared" si="2"/>
        <v>1438.5303999999999</v>
      </c>
      <c r="J73" s="86">
        <v>953.81</v>
      </c>
      <c r="K73" s="86">
        <f t="shared" si="3"/>
        <v>484.72039999999993</v>
      </c>
      <c r="L73" s="87" t="s">
        <v>63</v>
      </c>
      <c r="M73" s="87" t="s">
        <v>68</v>
      </c>
      <c r="N73" s="88" t="s">
        <v>69</v>
      </c>
    </row>
    <row r="74" spans="1:14">
      <c r="A74" s="81">
        <v>45349</v>
      </c>
      <c r="B74" s="82" t="s">
        <v>142</v>
      </c>
      <c r="C74" s="82" t="s">
        <v>36</v>
      </c>
      <c r="D74" s="82" t="s">
        <v>32</v>
      </c>
      <c r="E74" s="82" t="s">
        <v>46</v>
      </c>
      <c r="F74" s="83">
        <v>10</v>
      </c>
      <c r="G74" s="84">
        <v>92.8</v>
      </c>
      <c r="H74" s="85">
        <v>0.08</v>
      </c>
      <c r="I74" s="86">
        <f t="shared" si="2"/>
        <v>853.76</v>
      </c>
      <c r="J74" s="86">
        <v>445.44</v>
      </c>
      <c r="K74" s="86">
        <f t="shared" si="3"/>
        <v>408.32</v>
      </c>
      <c r="L74" s="87" t="s">
        <v>67</v>
      </c>
      <c r="M74" s="87" t="s">
        <v>68</v>
      </c>
      <c r="N74" s="88" t="s">
        <v>65</v>
      </c>
    </row>
    <row r="75" spans="1:14">
      <c r="A75" s="81">
        <v>45350</v>
      </c>
      <c r="B75" s="82" t="s">
        <v>143</v>
      </c>
      <c r="C75" s="82" t="s">
        <v>26</v>
      </c>
      <c r="D75" s="82" t="s">
        <v>27</v>
      </c>
      <c r="E75" s="82" t="s">
        <v>35</v>
      </c>
      <c r="F75" s="83">
        <v>6</v>
      </c>
      <c r="G75" s="84">
        <v>363.75</v>
      </c>
      <c r="H75" s="85">
        <v>0.12</v>
      </c>
      <c r="I75" s="86">
        <f t="shared" si="2"/>
        <v>1920.6</v>
      </c>
      <c r="J75" s="86">
        <v>1309.5</v>
      </c>
      <c r="K75" s="86">
        <f t="shared" si="3"/>
        <v>611.09999999999991</v>
      </c>
      <c r="L75" s="87" t="s">
        <v>67</v>
      </c>
      <c r="M75" s="87" t="s">
        <v>64</v>
      </c>
      <c r="N75" s="88" t="s">
        <v>65</v>
      </c>
    </row>
    <row r="76" spans="1:14">
      <c r="A76" s="81">
        <v>45351</v>
      </c>
      <c r="B76" s="82" t="s">
        <v>144</v>
      </c>
      <c r="C76" s="82" t="s">
        <v>31</v>
      </c>
      <c r="D76" s="82" t="s">
        <v>37</v>
      </c>
      <c r="E76" s="82" t="s">
        <v>48</v>
      </c>
      <c r="F76" s="83">
        <v>2</v>
      </c>
      <c r="G76" s="84">
        <v>68.489999999999995</v>
      </c>
      <c r="H76" s="85">
        <v>0.05</v>
      </c>
      <c r="I76" s="86">
        <f t="shared" si="2"/>
        <v>130.13099999999997</v>
      </c>
      <c r="J76" s="86">
        <v>57.53</v>
      </c>
      <c r="K76" s="86">
        <f t="shared" si="3"/>
        <v>72.600999999999971</v>
      </c>
      <c r="L76" s="87" t="s">
        <v>63</v>
      </c>
      <c r="M76" s="87" t="s">
        <v>60</v>
      </c>
      <c r="N76" s="88" t="s">
        <v>71</v>
      </c>
    </row>
    <row r="77" spans="1:14">
      <c r="A77" s="81">
        <v>45353</v>
      </c>
      <c r="B77" s="82" t="s">
        <v>145</v>
      </c>
      <c r="C77" s="82" t="s">
        <v>40</v>
      </c>
      <c r="D77" s="82" t="s">
        <v>37</v>
      </c>
      <c r="E77" s="82" t="s">
        <v>47</v>
      </c>
      <c r="F77" s="83">
        <v>3</v>
      </c>
      <c r="G77" s="84">
        <v>126.03</v>
      </c>
      <c r="H77" s="85">
        <v>0.03</v>
      </c>
      <c r="I77" s="86">
        <f t="shared" si="2"/>
        <v>366.7473</v>
      </c>
      <c r="J77" s="86">
        <v>173.92</v>
      </c>
      <c r="K77" s="86">
        <f t="shared" si="3"/>
        <v>192.82730000000001</v>
      </c>
      <c r="L77" s="87" t="s">
        <v>63</v>
      </c>
      <c r="M77" s="87" t="s">
        <v>64</v>
      </c>
      <c r="N77" s="88" t="s">
        <v>65</v>
      </c>
    </row>
    <row r="78" spans="1:14">
      <c r="A78" s="81">
        <v>45354</v>
      </c>
      <c r="B78" s="82" t="s">
        <v>146</v>
      </c>
      <c r="C78" s="82" t="s">
        <v>40</v>
      </c>
      <c r="D78" s="82" t="s">
        <v>37</v>
      </c>
      <c r="E78" s="82" t="s">
        <v>47</v>
      </c>
      <c r="F78" s="83">
        <v>8</v>
      </c>
      <c r="G78" s="84">
        <v>121.14</v>
      </c>
      <c r="H78" s="85">
        <v>0.03</v>
      </c>
      <c r="I78" s="86">
        <f t="shared" si="2"/>
        <v>940.04639999999995</v>
      </c>
      <c r="J78" s="86">
        <v>445.8</v>
      </c>
      <c r="K78" s="86">
        <f t="shared" si="3"/>
        <v>494.24639999999994</v>
      </c>
      <c r="L78" s="87" t="s">
        <v>59</v>
      </c>
      <c r="M78" s="87" t="s">
        <v>68</v>
      </c>
      <c r="N78" s="88" t="s">
        <v>78</v>
      </c>
    </row>
    <row r="79" spans="1:14">
      <c r="A79" s="81">
        <v>45356</v>
      </c>
      <c r="B79" s="82" t="s">
        <v>147</v>
      </c>
      <c r="C79" s="82" t="s">
        <v>36</v>
      </c>
      <c r="D79" s="82" t="s">
        <v>27</v>
      </c>
      <c r="E79" s="82" t="s">
        <v>25</v>
      </c>
      <c r="F79" s="83">
        <v>5</v>
      </c>
      <c r="G79" s="84">
        <v>1147.28</v>
      </c>
      <c r="H79" s="85">
        <v>0.03</v>
      </c>
      <c r="I79" s="86">
        <f t="shared" si="2"/>
        <v>5564.3079999999991</v>
      </c>
      <c r="J79" s="86">
        <v>3900.75</v>
      </c>
      <c r="K79" s="86">
        <f t="shared" si="3"/>
        <v>1663.5579999999991</v>
      </c>
      <c r="L79" s="87" t="s">
        <v>59</v>
      </c>
      <c r="M79" s="87" t="s">
        <v>68</v>
      </c>
      <c r="N79" s="88" t="s">
        <v>71</v>
      </c>
    </row>
    <row r="80" spans="1:14">
      <c r="A80" s="81">
        <v>45357</v>
      </c>
      <c r="B80" s="82" t="s">
        <v>148</v>
      </c>
      <c r="C80" s="82" t="s">
        <v>36</v>
      </c>
      <c r="D80" s="82" t="s">
        <v>37</v>
      </c>
      <c r="E80" s="82" t="s">
        <v>48</v>
      </c>
      <c r="F80" s="83">
        <v>2</v>
      </c>
      <c r="G80" s="84">
        <v>67.13</v>
      </c>
      <c r="H80" s="85">
        <v>0.03</v>
      </c>
      <c r="I80" s="86">
        <f t="shared" si="2"/>
        <v>130.23219999999998</v>
      </c>
      <c r="J80" s="86">
        <v>56.39</v>
      </c>
      <c r="K80" s="86">
        <f t="shared" si="3"/>
        <v>73.842199999999977</v>
      </c>
      <c r="L80" s="87" t="s">
        <v>59</v>
      </c>
      <c r="M80" s="87" t="s">
        <v>68</v>
      </c>
      <c r="N80" s="88" t="s">
        <v>71</v>
      </c>
    </row>
    <row r="81" spans="1:14">
      <c r="A81" s="81">
        <v>45359</v>
      </c>
      <c r="B81" s="82" t="s">
        <v>149</v>
      </c>
      <c r="C81" s="82" t="s">
        <v>40</v>
      </c>
      <c r="D81" s="82" t="s">
        <v>27</v>
      </c>
      <c r="E81" s="82" t="s">
        <v>35</v>
      </c>
      <c r="F81" s="83">
        <v>6</v>
      </c>
      <c r="G81" s="84">
        <v>373.16</v>
      </c>
      <c r="H81" s="85">
        <v>0.03</v>
      </c>
      <c r="I81" s="86">
        <f t="shared" si="2"/>
        <v>2171.7912000000001</v>
      </c>
      <c r="J81" s="86">
        <v>1343.38</v>
      </c>
      <c r="K81" s="86">
        <f t="shared" si="3"/>
        <v>828.41120000000001</v>
      </c>
      <c r="L81" s="87" t="s">
        <v>63</v>
      </c>
      <c r="M81" s="87" t="s">
        <v>60</v>
      </c>
      <c r="N81" s="88" t="s">
        <v>74</v>
      </c>
    </row>
    <row r="82" spans="1:14">
      <c r="A82" s="81">
        <v>45361</v>
      </c>
      <c r="B82" s="82" t="s">
        <v>150</v>
      </c>
      <c r="C82" s="82" t="s">
        <v>31</v>
      </c>
      <c r="D82" s="82" t="s">
        <v>32</v>
      </c>
      <c r="E82" s="82" t="s">
        <v>39</v>
      </c>
      <c r="F82" s="83">
        <v>4</v>
      </c>
      <c r="G82" s="84">
        <v>413.2</v>
      </c>
      <c r="H82" s="85">
        <v>0.12</v>
      </c>
      <c r="I82" s="86">
        <f t="shared" si="2"/>
        <v>1454.4639999999999</v>
      </c>
      <c r="J82" s="86">
        <v>942.1</v>
      </c>
      <c r="K82" s="86">
        <f t="shared" si="3"/>
        <v>512.36399999999992</v>
      </c>
      <c r="L82" s="87" t="s">
        <v>67</v>
      </c>
      <c r="M82" s="87" t="s">
        <v>60</v>
      </c>
      <c r="N82" s="88" t="s">
        <v>71</v>
      </c>
    </row>
    <row r="83" spans="1:14">
      <c r="A83" s="81">
        <v>45362</v>
      </c>
      <c r="B83" s="82" t="s">
        <v>151</v>
      </c>
      <c r="C83" s="82" t="s">
        <v>31</v>
      </c>
      <c r="D83" s="82" t="s">
        <v>37</v>
      </c>
      <c r="E83" s="82" t="s">
        <v>47</v>
      </c>
      <c r="F83" s="83">
        <v>1</v>
      </c>
      <c r="G83" s="84">
        <v>119.94</v>
      </c>
      <c r="H83" s="85">
        <v>0.08</v>
      </c>
      <c r="I83" s="86">
        <f t="shared" si="2"/>
        <v>110.34480000000001</v>
      </c>
      <c r="J83" s="86">
        <v>55.17</v>
      </c>
      <c r="K83" s="86">
        <f t="shared" si="3"/>
        <v>55.174800000000005</v>
      </c>
      <c r="L83" s="87" t="s">
        <v>67</v>
      </c>
      <c r="M83" s="87" t="s">
        <v>60</v>
      </c>
      <c r="N83" s="88" t="s">
        <v>78</v>
      </c>
    </row>
    <row r="84" spans="1:14">
      <c r="A84" s="81">
        <v>45362</v>
      </c>
      <c r="B84" s="82" t="s">
        <v>152</v>
      </c>
      <c r="C84" s="82" t="s">
        <v>40</v>
      </c>
      <c r="D84" s="82" t="s">
        <v>37</v>
      </c>
      <c r="E84" s="82" t="s">
        <v>47</v>
      </c>
      <c r="F84" s="83">
        <v>6</v>
      </c>
      <c r="G84" s="84">
        <v>126.84</v>
      </c>
      <c r="H84" s="85">
        <v>0.1</v>
      </c>
      <c r="I84" s="86">
        <f t="shared" si="2"/>
        <v>684.93600000000004</v>
      </c>
      <c r="J84" s="86">
        <v>350.08</v>
      </c>
      <c r="K84" s="86">
        <f t="shared" si="3"/>
        <v>334.85600000000005</v>
      </c>
      <c r="L84" s="87" t="s">
        <v>59</v>
      </c>
      <c r="M84" s="87" t="s">
        <v>64</v>
      </c>
      <c r="N84" s="88" t="s">
        <v>69</v>
      </c>
    </row>
    <row r="85" spans="1:14">
      <c r="A85" s="81">
        <v>45364</v>
      </c>
      <c r="B85" s="82" t="s">
        <v>153</v>
      </c>
      <c r="C85" s="82" t="s">
        <v>40</v>
      </c>
      <c r="D85" s="82" t="s">
        <v>37</v>
      </c>
      <c r="E85" s="82" t="s">
        <v>48</v>
      </c>
      <c r="F85" s="83">
        <v>5</v>
      </c>
      <c r="G85" s="84">
        <v>67.41</v>
      </c>
      <c r="H85" s="85">
        <v>0.03</v>
      </c>
      <c r="I85" s="86">
        <f t="shared" si="2"/>
        <v>326.93849999999992</v>
      </c>
      <c r="J85" s="86">
        <v>141.56</v>
      </c>
      <c r="K85" s="86">
        <f t="shared" si="3"/>
        <v>185.37849999999992</v>
      </c>
      <c r="L85" s="87" t="s">
        <v>63</v>
      </c>
      <c r="M85" s="87" t="s">
        <v>64</v>
      </c>
      <c r="N85" s="88" t="s">
        <v>65</v>
      </c>
    </row>
    <row r="86" spans="1:14">
      <c r="A86" s="81">
        <v>45366</v>
      </c>
      <c r="B86" s="82" t="s">
        <v>154</v>
      </c>
      <c r="C86" s="82" t="s">
        <v>40</v>
      </c>
      <c r="D86" s="82" t="s">
        <v>27</v>
      </c>
      <c r="E86" s="82" t="s">
        <v>25</v>
      </c>
      <c r="F86" s="83">
        <v>3</v>
      </c>
      <c r="G86" s="84">
        <v>1184.46</v>
      </c>
      <c r="H86" s="85">
        <v>0.08</v>
      </c>
      <c r="I86" s="86">
        <f t="shared" si="2"/>
        <v>3269.1096000000002</v>
      </c>
      <c r="J86" s="86">
        <v>2416.3000000000002</v>
      </c>
      <c r="K86" s="86">
        <f t="shared" si="3"/>
        <v>852.80960000000005</v>
      </c>
      <c r="L86" s="87" t="s">
        <v>63</v>
      </c>
      <c r="M86" s="87" t="s">
        <v>68</v>
      </c>
      <c r="N86" s="88" t="s">
        <v>65</v>
      </c>
    </row>
    <row r="87" spans="1:14">
      <c r="A87" s="81">
        <v>45366</v>
      </c>
      <c r="B87" s="82" t="s">
        <v>155</v>
      </c>
      <c r="C87" s="82" t="s">
        <v>26</v>
      </c>
      <c r="D87" s="82" t="s">
        <v>37</v>
      </c>
      <c r="E87" s="82" t="s">
        <v>47</v>
      </c>
      <c r="F87" s="83">
        <v>5</v>
      </c>
      <c r="G87" s="84">
        <v>115.98</v>
      </c>
      <c r="H87" s="85">
        <v>0.03</v>
      </c>
      <c r="I87" s="86">
        <f t="shared" si="2"/>
        <v>562.50299999999993</v>
      </c>
      <c r="J87" s="86">
        <v>266.75</v>
      </c>
      <c r="K87" s="86">
        <f t="shared" si="3"/>
        <v>295.75299999999993</v>
      </c>
      <c r="L87" s="87" t="s">
        <v>63</v>
      </c>
      <c r="M87" s="87" t="s">
        <v>64</v>
      </c>
      <c r="N87" s="88" t="s">
        <v>74</v>
      </c>
    </row>
    <row r="88" spans="1:14">
      <c r="A88" s="81">
        <v>45366</v>
      </c>
      <c r="B88" s="82" t="s">
        <v>156</v>
      </c>
      <c r="C88" s="82" t="s">
        <v>40</v>
      </c>
      <c r="D88" s="82" t="s">
        <v>37</v>
      </c>
      <c r="E88" s="82" t="s">
        <v>47</v>
      </c>
      <c r="F88" s="83">
        <v>8</v>
      </c>
      <c r="G88" s="84">
        <v>122.04</v>
      </c>
      <c r="H88" s="85">
        <v>0.08</v>
      </c>
      <c r="I88" s="86">
        <f t="shared" si="2"/>
        <v>898.21440000000007</v>
      </c>
      <c r="J88" s="86">
        <v>449.11</v>
      </c>
      <c r="K88" s="86">
        <f t="shared" si="3"/>
        <v>449.10440000000006</v>
      </c>
      <c r="L88" s="87" t="s">
        <v>67</v>
      </c>
      <c r="M88" s="87" t="s">
        <v>64</v>
      </c>
      <c r="N88" s="88" t="s">
        <v>71</v>
      </c>
    </row>
    <row r="89" spans="1:14">
      <c r="A89" s="81">
        <v>45367</v>
      </c>
      <c r="B89" s="82" t="s">
        <v>157</v>
      </c>
      <c r="C89" s="82" t="s">
        <v>31</v>
      </c>
      <c r="D89" s="82" t="s">
        <v>32</v>
      </c>
      <c r="E89" s="82" t="s">
        <v>42</v>
      </c>
      <c r="F89" s="83">
        <v>2</v>
      </c>
      <c r="G89" s="84">
        <v>745.22</v>
      </c>
      <c r="H89" s="85">
        <v>0</v>
      </c>
      <c r="I89" s="86">
        <f t="shared" si="2"/>
        <v>1490.44</v>
      </c>
      <c r="J89" s="86">
        <v>909.17</v>
      </c>
      <c r="K89" s="86">
        <f t="shared" si="3"/>
        <v>581.2700000000001</v>
      </c>
      <c r="L89" s="87" t="s">
        <v>63</v>
      </c>
      <c r="M89" s="87" t="s">
        <v>68</v>
      </c>
      <c r="N89" s="88" t="s">
        <v>74</v>
      </c>
    </row>
    <row r="90" spans="1:14">
      <c r="A90" s="81">
        <v>45367</v>
      </c>
      <c r="B90" s="82" t="s">
        <v>158</v>
      </c>
      <c r="C90" s="82" t="s">
        <v>36</v>
      </c>
      <c r="D90" s="82" t="s">
        <v>27</v>
      </c>
      <c r="E90" s="82" t="s">
        <v>30</v>
      </c>
      <c r="F90" s="83">
        <v>3</v>
      </c>
      <c r="G90" s="84">
        <v>645.67999999999995</v>
      </c>
      <c r="H90" s="85">
        <v>0.1</v>
      </c>
      <c r="I90" s="86">
        <f t="shared" si="2"/>
        <v>1743.336</v>
      </c>
      <c r="J90" s="86">
        <v>1239.71</v>
      </c>
      <c r="K90" s="86">
        <f t="shared" si="3"/>
        <v>503.62599999999998</v>
      </c>
      <c r="L90" s="87" t="s">
        <v>63</v>
      </c>
      <c r="M90" s="87" t="s">
        <v>64</v>
      </c>
      <c r="N90" s="88" t="s">
        <v>65</v>
      </c>
    </row>
    <row r="91" spans="1:14">
      <c r="A91" s="81">
        <v>45368</v>
      </c>
      <c r="B91" s="82" t="s">
        <v>159</v>
      </c>
      <c r="C91" s="82" t="s">
        <v>31</v>
      </c>
      <c r="D91" s="82" t="s">
        <v>27</v>
      </c>
      <c r="E91" s="82" t="s">
        <v>30</v>
      </c>
      <c r="F91" s="83">
        <v>6</v>
      </c>
      <c r="G91" s="84">
        <v>646.76</v>
      </c>
      <c r="H91" s="85">
        <v>0.12</v>
      </c>
      <c r="I91" s="86">
        <f t="shared" si="2"/>
        <v>3414.8928000000001</v>
      </c>
      <c r="J91" s="86">
        <v>2483.56</v>
      </c>
      <c r="K91" s="86">
        <f t="shared" si="3"/>
        <v>931.33280000000013</v>
      </c>
      <c r="L91" s="87" t="s">
        <v>63</v>
      </c>
      <c r="M91" s="87" t="s">
        <v>68</v>
      </c>
      <c r="N91" s="88" t="s">
        <v>78</v>
      </c>
    </row>
    <row r="92" spans="1:14">
      <c r="A92" s="81">
        <v>45368</v>
      </c>
      <c r="B92" s="82" t="s">
        <v>160</v>
      </c>
      <c r="C92" s="82" t="s">
        <v>40</v>
      </c>
      <c r="D92" s="82" t="s">
        <v>32</v>
      </c>
      <c r="E92" s="82" t="s">
        <v>42</v>
      </c>
      <c r="F92" s="83">
        <v>7</v>
      </c>
      <c r="G92" s="84">
        <v>804.61</v>
      </c>
      <c r="H92" s="85">
        <v>0.05</v>
      </c>
      <c r="I92" s="86">
        <f t="shared" si="2"/>
        <v>5350.6565000000001</v>
      </c>
      <c r="J92" s="86">
        <v>3435.68</v>
      </c>
      <c r="K92" s="86">
        <f t="shared" si="3"/>
        <v>1914.9765000000002</v>
      </c>
      <c r="L92" s="87" t="s">
        <v>67</v>
      </c>
      <c r="M92" s="87" t="s">
        <v>60</v>
      </c>
      <c r="N92" s="88" t="s">
        <v>78</v>
      </c>
    </row>
    <row r="93" spans="1:14">
      <c r="A93" s="81">
        <v>45369</v>
      </c>
      <c r="B93" s="82" t="s">
        <v>161</v>
      </c>
      <c r="C93" s="82" t="s">
        <v>26</v>
      </c>
      <c r="D93" s="82" t="s">
        <v>37</v>
      </c>
      <c r="E93" s="82" t="s">
        <v>47</v>
      </c>
      <c r="F93" s="83">
        <v>11</v>
      </c>
      <c r="G93" s="84">
        <v>124.29</v>
      </c>
      <c r="H93" s="85">
        <v>0.08</v>
      </c>
      <c r="I93" s="86">
        <f t="shared" si="2"/>
        <v>1257.8148000000001</v>
      </c>
      <c r="J93" s="86">
        <v>628.91</v>
      </c>
      <c r="K93" s="86">
        <f t="shared" si="3"/>
        <v>628.90480000000014</v>
      </c>
      <c r="L93" s="87" t="s">
        <v>67</v>
      </c>
      <c r="M93" s="87" t="s">
        <v>68</v>
      </c>
      <c r="N93" s="88" t="s">
        <v>74</v>
      </c>
    </row>
    <row r="94" spans="1:14">
      <c r="A94" s="81">
        <v>45370</v>
      </c>
      <c r="B94" s="82" t="s">
        <v>162</v>
      </c>
      <c r="C94" s="82" t="s">
        <v>40</v>
      </c>
      <c r="D94" s="82" t="s">
        <v>32</v>
      </c>
      <c r="E94" s="82" t="s">
        <v>42</v>
      </c>
      <c r="F94" s="83">
        <v>6</v>
      </c>
      <c r="G94" s="84">
        <v>738.09</v>
      </c>
      <c r="H94" s="85">
        <v>0.1</v>
      </c>
      <c r="I94" s="86">
        <f t="shared" si="2"/>
        <v>3985.6860000000001</v>
      </c>
      <c r="J94" s="86">
        <v>2701.41</v>
      </c>
      <c r="K94" s="86">
        <f t="shared" si="3"/>
        <v>1284.2760000000003</v>
      </c>
      <c r="L94" s="87" t="s">
        <v>63</v>
      </c>
      <c r="M94" s="87" t="s">
        <v>68</v>
      </c>
      <c r="N94" s="88" t="s">
        <v>69</v>
      </c>
    </row>
    <row r="95" spans="1:14">
      <c r="A95" s="81">
        <v>45370</v>
      </c>
      <c r="B95" s="82" t="s">
        <v>163</v>
      </c>
      <c r="C95" s="82" t="s">
        <v>26</v>
      </c>
      <c r="D95" s="82" t="s">
        <v>27</v>
      </c>
      <c r="E95" s="82" t="s">
        <v>30</v>
      </c>
      <c r="F95" s="83">
        <v>5</v>
      </c>
      <c r="G95" s="84">
        <v>638.95000000000005</v>
      </c>
      <c r="H95" s="85">
        <v>0.1</v>
      </c>
      <c r="I95" s="86">
        <f t="shared" si="2"/>
        <v>2875.2750000000001</v>
      </c>
      <c r="J95" s="86">
        <v>2044.64</v>
      </c>
      <c r="K95" s="86">
        <f t="shared" si="3"/>
        <v>830.63499999999999</v>
      </c>
      <c r="L95" s="87" t="s">
        <v>63</v>
      </c>
      <c r="M95" s="87" t="s">
        <v>60</v>
      </c>
      <c r="N95" s="88" t="s">
        <v>71</v>
      </c>
    </row>
    <row r="96" spans="1:14">
      <c r="A96" s="81">
        <v>45371</v>
      </c>
      <c r="B96" s="82" t="s">
        <v>164</v>
      </c>
      <c r="C96" s="82" t="s">
        <v>26</v>
      </c>
      <c r="D96" s="82" t="s">
        <v>27</v>
      </c>
      <c r="E96" s="82" t="s">
        <v>35</v>
      </c>
      <c r="F96" s="83">
        <v>13</v>
      </c>
      <c r="G96" s="84">
        <v>379.79</v>
      </c>
      <c r="H96" s="85">
        <v>0.03</v>
      </c>
      <c r="I96" s="86">
        <f t="shared" si="2"/>
        <v>4789.1518999999998</v>
      </c>
      <c r="J96" s="86">
        <v>2962.36</v>
      </c>
      <c r="K96" s="86">
        <f t="shared" si="3"/>
        <v>1826.7918999999997</v>
      </c>
      <c r="L96" s="87" t="s">
        <v>67</v>
      </c>
      <c r="M96" s="87" t="s">
        <v>68</v>
      </c>
      <c r="N96" s="88" t="s">
        <v>65</v>
      </c>
    </row>
    <row r="97" spans="1:14">
      <c r="A97" s="81">
        <v>45371</v>
      </c>
      <c r="B97" s="82" t="s">
        <v>165</v>
      </c>
      <c r="C97" s="82" t="s">
        <v>26</v>
      </c>
      <c r="D97" s="82" t="s">
        <v>32</v>
      </c>
      <c r="E97" s="82" t="s">
        <v>46</v>
      </c>
      <c r="F97" s="83">
        <v>2</v>
      </c>
      <c r="G97" s="84">
        <v>98.33</v>
      </c>
      <c r="H97" s="85">
        <v>0.05</v>
      </c>
      <c r="I97" s="86">
        <f t="shared" si="2"/>
        <v>186.827</v>
      </c>
      <c r="J97" s="86">
        <v>94.4</v>
      </c>
      <c r="K97" s="86">
        <f t="shared" si="3"/>
        <v>92.426999999999992</v>
      </c>
      <c r="L97" s="87" t="s">
        <v>59</v>
      </c>
      <c r="M97" s="87" t="s">
        <v>60</v>
      </c>
      <c r="N97" s="88" t="s">
        <v>71</v>
      </c>
    </row>
    <row r="98" spans="1:14">
      <c r="A98" s="81">
        <v>45371</v>
      </c>
      <c r="B98" s="82" t="s">
        <v>166</v>
      </c>
      <c r="C98" s="82" t="s">
        <v>36</v>
      </c>
      <c r="D98" s="82" t="s">
        <v>27</v>
      </c>
      <c r="E98" s="82" t="s">
        <v>35</v>
      </c>
      <c r="F98" s="83">
        <v>5</v>
      </c>
      <c r="G98" s="84">
        <v>351.75</v>
      </c>
      <c r="H98" s="85">
        <v>0.1</v>
      </c>
      <c r="I98" s="86">
        <f t="shared" si="2"/>
        <v>1582.875</v>
      </c>
      <c r="J98" s="86">
        <v>1055.25</v>
      </c>
      <c r="K98" s="86">
        <f t="shared" si="3"/>
        <v>527.625</v>
      </c>
      <c r="L98" s="87" t="s">
        <v>67</v>
      </c>
      <c r="M98" s="87" t="s">
        <v>60</v>
      </c>
      <c r="N98" s="88" t="s">
        <v>69</v>
      </c>
    </row>
    <row r="99" spans="1:14">
      <c r="A99" s="81">
        <v>45372</v>
      </c>
      <c r="B99" s="82" t="s">
        <v>167</v>
      </c>
      <c r="C99" s="82" t="s">
        <v>31</v>
      </c>
      <c r="D99" s="82" t="s">
        <v>27</v>
      </c>
      <c r="E99" s="82" t="s">
        <v>25</v>
      </c>
      <c r="F99" s="83">
        <v>4</v>
      </c>
      <c r="G99" s="84">
        <v>1154.18</v>
      </c>
      <c r="H99" s="85">
        <v>0.03</v>
      </c>
      <c r="I99" s="86">
        <f t="shared" si="2"/>
        <v>4478.2183999999997</v>
      </c>
      <c r="J99" s="86">
        <v>3139.37</v>
      </c>
      <c r="K99" s="86">
        <f t="shared" si="3"/>
        <v>1338.8483999999999</v>
      </c>
      <c r="L99" s="87" t="s">
        <v>67</v>
      </c>
      <c r="M99" s="87" t="s">
        <v>64</v>
      </c>
      <c r="N99" s="88" t="s">
        <v>61</v>
      </c>
    </row>
    <row r="100" spans="1:14">
      <c r="A100" s="81">
        <v>45372</v>
      </c>
      <c r="B100" s="82" t="s">
        <v>168</v>
      </c>
      <c r="C100" s="82" t="s">
        <v>26</v>
      </c>
      <c r="D100" s="82" t="s">
        <v>37</v>
      </c>
      <c r="E100" s="82" t="s">
        <v>47</v>
      </c>
      <c r="F100" s="83">
        <v>2</v>
      </c>
      <c r="G100" s="84">
        <v>124.16</v>
      </c>
      <c r="H100" s="85">
        <v>0.08</v>
      </c>
      <c r="I100" s="86">
        <f t="shared" si="2"/>
        <v>228.45439999999999</v>
      </c>
      <c r="J100" s="86">
        <v>114.23</v>
      </c>
      <c r="K100" s="86">
        <f t="shared" si="3"/>
        <v>114.22439999999999</v>
      </c>
      <c r="L100" s="87" t="s">
        <v>63</v>
      </c>
      <c r="M100" s="87" t="s">
        <v>64</v>
      </c>
      <c r="N100" s="88" t="s">
        <v>65</v>
      </c>
    </row>
    <row r="101" spans="1:14">
      <c r="A101" s="81">
        <v>45373</v>
      </c>
      <c r="B101" s="82" t="s">
        <v>169</v>
      </c>
      <c r="C101" s="82" t="s">
        <v>36</v>
      </c>
      <c r="D101" s="82" t="s">
        <v>27</v>
      </c>
      <c r="E101" s="82" t="s">
        <v>35</v>
      </c>
      <c r="F101" s="83">
        <v>4</v>
      </c>
      <c r="G101" s="84">
        <v>360.08</v>
      </c>
      <c r="H101" s="85">
        <v>0.08</v>
      </c>
      <c r="I101" s="86">
        <f t="shared" si="2"/>
        <v>1325.0944</v>
      </c>
      <c r="J101" s="86">
        <v>864.19</v>
      </c>
      <c r="K101" s="86">
        <f t="shared" si="3"/>
        <v>460.9043999999999</v>
      </c>
      <c r="L101" s="87" t="s">
        <v>67</v>
      </c>
      <c r="M101" s="87" t="s">
        <v>64</v>
      </c>
      <c r="N101" s="88" t="s">
        <v>78</v>
      </c>
    </row>
    <row r="102" spans="1:14">
      <c r="A102" s="81">
        <v>45373</v>
      </c>
      <c r="B102" s="82" t="s">
        <v>170</v>
      </c>
      <c r="C102" s="82" t="s">
        <v>26</v>
      </c>
      <c r="D102" s="82" t="s">
        <v>32</v>
      </c>
      <c r="E102" s="82" t="s">
        <v>39</v>
      </c>
      <c r="F102" s="83">
        <v>2</v>
      </c>
      <c r="G102" s="84">
        <v>442.49</v>
      </c>
      <c r="H102" s="85">
        <v>0.03</v>
      </c>
      <c r="I102" s="86">
        <f t="shared" si="2"/>
        <v>858.43060000000003</v>
      </c>
      <c r="J102" s="86">
        <v>504.44</v>
      </c>
      <c r="K102" s="86">
        <f t="shared" si="3"/>
        <v>353.99060000000003</v>
      </c>
      <c r="L102" s="87" t="s">
        <v>59</v>
      </c>
      <c r="M102" s="87" t="s">
        <v>64</v>
      </c>
      <c r="N102" s="88" t="s">
        <v>65</v>
      </c>
    </row>
    <row r="103" spans="1:14">
      <c r="A103" s="81">
        <v>45373</v>
      </c>
      <c r="B103" s="82" t="s">
        <v>171</v>
      </c>
      <c r="C103" s="82" t="s">
        <v>40</v>
      </c>
      <c r="D103" s="82" t="s">
        <v>27</v>
      </c>
      <c r="E103" s="82" t="s">
        <v>30</v>
      </c>
      <c r="F103" s="83">
        <v>4</v>
      </c>
      <c r="G103" s="84">
        <v>619.34</v>
      </c>
      <c r="H103" s="85">
        <v>0.08</v>
      </c>
      <c r="I103" s="86">
        <f t="shared" si="2"/>
        <v>2279.1712000000002</v>
      </c>
      <c r="J103" s="86">
        <v>1585.51</v>
      </c>
      <c r="K103" s="86">
        <f t="shared" si="3"/>
        <v>693.66120000000024</v>
      </c>
      <c r="L103" s="87" t="s">
        <v>63</v>
      </c>
      <c r="M103" s="87" t="s">
        <v>68</v>
      </c>
      <c r="N103" s="88" t="s">
        <v>65</v>
      </c>
    </row>
    <row r="104" spans="1:14">
      <c r="A104" s="81">
        <v>45374</v>
      </c>
      <c r="B104" s="82" t="s">
        <v>172</v>
      </c>
      <c r="C104" s="82" t="s">
        <v>31</v>
      </c>
      <c r="D104" s="82" t="s">
        <v>27</v>
      </c>
      <c r="E104" s="82" t="s">
        <v>35</v>
      </c>
      <c r="F104" s="83">
        <v>9</v>
      </c>
      <c r="G104" s="84">
        <v>373.41</v>
      </c>
      <c r="H104" s="85">
        <v>0.05</v>
      </c>
      <c r="I104" s="86">
        <f t="shared" si="2"/>
        <v>3192.6554999999998</v>
      </c>
      <c r="J104" s="86">
        <v>2016.41</v>
      </c>
      <c r="K104" s="86">
        <f t="shared" si="3"/>
        <v>1176.2454999999998</v>
      </c>
      <c r="L104" s="87" t="s">
        <v>67</v>
      </c>
      <c r="M104" s="87" t="s">
        <v>60</v>
      </c>
      <c r="N104" s="88" t="s">
        <v>74</v>
      </c>
    </row>
    <row r="105" spans="1:14">
      <c r="A105" s="81">
        <v>45374</v>
      </c>
      <c r="B105" s="82" t="s">
        <v>173</v>
      </c>
      <c r="C105" s="82" t="s">
        <v>40</v>
      </c>
      <c r="D105" s="82" t="s">
        <v>32</v>
      </c>
      <c r="E105" s="82" t="s">
        <v>39</v>
      </c>
      <c r="F105" s="83">
        <v>9</v>
      </c>
      <c r="G105" s="84">
        <v>418.91</v>
      </c>
      <c r="H105" s="85">
        <v>0.03</v>
      </c>
      <c r="I105" s="86">
        <f t="shared" si="2"/>
        <v>3657.0843</v>
      </c>
      <c r="J105" s="86">
        <v>2149.0100000000002</v>
      </c>
      <c r="K105" s="86">
        <f t="shared" si="3"/>
        <v>1508.0742999999998</v>
      </c>
      <c r="L105" s="87" t="s">
        <v>59</v>
      </c>
      <c r="M105" s="87" t="s">
        <v>64</v>
      </c>
      <c r="N105" s="88" t="s">
        <v>61</v>
      </c>
    </row>
    <row r="106" spans="1:14">
      <c r="A106" s="81">
        <v>45374</v>
      </c>
      <c r="B106" s="82" t="s">
        <v>174</v>
      </c>
      <c r="C106" s="82" t="s">
        <v>40</v>
      </c>
      <c r="D106" s="82" t="s">
        <v>32</v>
      </c>
      <c r="E106" s="82" t="s">
        <v>46</v>
      </c>
      <c r="F106" s="83">
        <v>5</v>
      </c>
      <c r="G106" s="84">
        <v>100.43</v>
      </c>
      <c r="H106" s="85">
        <v>0</v>
      </c>
      <c r="I106" s="86">
        <f t="shared" si="2"/>
        <v>502.15000000000003</v>
      </c>
      <c r="J106" s="86">
        <v>241.03</v>
      </c>
      <c r="K106" s="86">
        <f t="shared" si="3"/>
        <v>261.12</v>
      </c>
      <c r="L106" s="87" t="s">
        <v>63</v>
      </c>
      <c r="M106" s="87" t="s">
        <v>64</v>
      </c>
      <c r="N106" s="88" t="s">
        <v>74</v>
      </c>
    </row>
    <row r="107" spans="1:14">
      <c r="A107" s="81">
        <v>45375</v>
      </c>
      <c r="B107" s="82" t="s">
        <v>175</v>
      </c>
      <c r="C107" s="82" t="s">
        <v>26</v>
      </c>
      <c r="D107" s="82" t="s">
        <v>37</v>
      </c>
      <c r="E107" s="82" t="s">
        <v>48</v>
      </c>
      <c r="F107" s="83">
        <v>1</v>
      </c>
      <c r="G107" s="84">
        <v>71.12</v>
      </c>
      <c r="H107" s="85">
        <v>0.03</v>
      </c>
      <c r="I107" s="86">
        <f t="shared" si="2"/>
        <v>68.986400000000003</v>
      </c>
      <c r="J107" s="86">
        <v>29.87</v>
      </c>
      <c r="K107" s="86">
        <f t="shared" si="3"/>
        <v>39.116399999999999</v>
      </c>
      <c r="L107" s="87" t="s">
        <v>59</v>
      </c>
      <c r="M107" s="87" t="s">
        <v>60</v>
      </c>
      <c r="N107" s="88" t="s">
        <v>78</v>
      </c>
    </row>
    <row r="108" spans="1:14">
      <c r="A108" s="81">
        <v>45375</v>
      </c>
      <c r="B108" s="82" t="s">
        <v>176</v>
      </c>
      <c r="C108" s="82" t="s">
        <v>40</v>
      </c>
      <c r="D108" s="82" t="s">
        <v>37</v>
      </c>
      <c r="E108" s="82" t="s">
        <v>48</v>
      </c>
      <c r="F108" s="83">
        <v>3</v>
      </c>
      <c r="G108" s="84">
        <v>68.599999999999994</v>
      </c>
      <c r="H108" s="85">
        <v>0.12</v>
      </c>
      <c r="I108" s="86">
        <f t="shared" si="2"/>
        <v>181.10399999999998</v>
      </c>
      <c r="J108" s="86">
        <v>86.44</v>
      </c>
      <c r="K108" s="86">
        <f t="shared" si="3"/>
        <v>94.663999999999987</v>
      </c>
      <c r="L108" s="87" t="s">
        <v>59</v>
      </c>
      <c r="M108" s="87" t="s">
        <v>60</v>
      </c>
      <c r="N108" s="88" t="s">
        <v>61</v>
      </c>
    </row>
    <row r="109" spans="1:14">
      <c r="A109" s="81">
        <v>45375</v>
      </c>
      <c r="B109" s="82" t="s">
        <v>177</v>
      </c>
      <c r="C109" s="82" t="s">
        <v>26</v>
      </c>
      <c r="D109" s="82" t="s">
        <v>32</v>
      </c>
      <c r="E109" s="82" t="s">
        <v>46</v>
      </c>
      <c r="F109" s="83">
        <v>7</v>
      </c>
      <c r="G109" s="84">
        <v>100.28</v>
      </c>
      <c r="H109" s="85">
        <v>0</v>
      </c>
      <c r="I109" s="86">
        <f t="shared" si="2"/>
        <v>701.96</v>
      </c>
      <c r="J109" s="86">
        <v>336.94</v>
      </c>
      <c r="K109" s="86">
        <f t="shared" si="3"/>
        <v>365.02000000000004</v>
      </c>
      <c r="L109" s="87" t="s">
        <v>67</v>
      </c>
      <c r="M109" s="87" t="s">
        <v>60</v>
      </c>
      <c r="N109" s="88" t="s">
        <v>78</v>
      </c>
    </row>
    <row r="110" spans="1:14">
      <c r="A110" s="81">
        <v>45375</v>
      </c>
      <c r="B110" s="82" t="s">
        <v>178</v>
      </c>
      <c r="C110" s="82" t="s">
        <v>26</v>
      </c>
      <c r="D110" s="82" t="s">
        <v>32</v>
      </c>
      <c r="E110" s="82" t="s">
        <v>39</v>
      </c>
      <c r="F110" s="83">
        <v>6</v>
      </c>
      <c r="G110" s="84">
        <v>422.17</v>
      </c>
      <c r="H110" s="85">
        <v>0.12</v>
      </c>
      <c r="I110" s="86">
        <f t="shared" si="2"/>
        <v>2229.0576000000001</v>
      </c>
      <c r="J110" s="86">
        <v>1443.82</v>
      </c>
      <c r="K110" s="86">
        <f t="shared" si="3"/>
        <v>785.23760000000016</v>
      </c>
      <c r="L110" s="87" t="s">
        <v>63</v>
      </c>
      <c r="M110" s="87" t="s">
        <v>60</v>
      </c>
      <c r="N110" s="88" t="s">
        <v>74</v>
      </c>
    </row>
    <row r="111" spans="1:14">
      <c r="A111" s="81">
        <v>45376</v>
      </c>
      <c r="B111" s="82" t="s">
        <v>179</v>
      </c>
      <c r="C111" s="82" t="s">
        <v>31</v>
      </c>
      <c r="D111" s="82" t="s">
        <v>27</v>
      </c>
      <c r="E111" s="82" t="s">
        <v>30</v>
      </c>
      <c r="F111" s="83">
        <v>6</v>
      </c>
      <c r="G111" s="84">
        <v>654.61</v>
      </c>
      <c r="H111" s="85">
        <v>0.1</v>
      </c>
      <c r="I111" s="86">
        <f t="shared" si="2"/>
        <v>3534.8939999999998</v>
      </c>
      <c r="J111" s="86">
        <v>2513.6999999999998</v>
      </c>
      <c r="K111" s="86">
        <f t="shared" si="3"/>
        <v>1021.194</v>
      </c>
      <c r="L111" s="87" t="s">
        <v>63</v>
      </c>
      <c r="M111" s="87" t="s">
        <v>60</v>
      </c>
      <c r="N111" s="88" t="s">
        <v>65</v>
      </c>
    </row>
    <row r="112" spans="1:14">
      <c r="A112" s="81">
        <v>45376</v>
      </c>
      <c r="B112" s="82" t="s">
        <v>180</v>
      </c>
      <c r="C112" s="82" t="s">
        <v>26</v>
      </c>
      <c r="D112" s="82" t="s">
        <v>32</v>
      </c>
      <c r="E112" s="82" t="s">
        <v>42</v>
      </c>
      <c r="F112" s="83">
        <v>8</v>
      </c>
      <c r="G112" s="84">
        <v>778.18</v>
      </c>
      <c r="H112" s="85">
        <v>0.12</v>
      </c>
      <c r="I112" s="86">
        <f t="shared" si="2"/>
        <v>5478.3872000000001</v>
      </c>
      <c r="J112" s="86">
        <v>3797.52</v>
      </c>
      <c r="K112" s="86">
        <f t="shared" si="3"/>
        <v>1680.8672000000001</v>
      </c>
      <c r="L112" s="87" t="s">
        <v>59</v>
      </c>
      <c r="M112" s="87" t="s">
        <v>68</v>
      </c>
      <c r="N112" s="88" t="s">
        <v>61</v>
      </c>
    </row>
    <row r="113" spans="1:14">
      <c r="A113" s="81">
        <v>45377</v>
      </c>
      <c r="B113" s="82" t="s">
        <v>181</v>
      </c>
      <c r="C113" s="82" t="s">
        <v>26</v>
      </c>
      <c r="D113" s="82" t="s">
        <v>27</v>
      </c>
      <c r="E113" s="82" t="s">
        <v>25</v>
      </c>
      <c r="F113" s="83">
        <v>2</v>
      </c>
      <c r="G113" s="84">
        <v>1155.96</v>
      </c>
      <c r="H113" s="85">
        <v>0.1</v>
      </c>
      <c r="I113" s="86">
        <f t="shared" si="2"/>
        <v>2080.7280000000001</v>
      </c>
      <c r="J113" s="86">
        <v>1572.11</v>
      </c>
      <c r="K113" s="86">
        <f t="shared" si="3"/>
        <v>508.61800000000017</v>
      </c>
      <c r="L113" s="87" t="s">
        <v>59</v>
      </c>
      <c r="M113" s="87" t="s">
        <v>64</v>
      </c>
      <c r="N113" s="88" t="s">
        <v>61</v>
      </c>
    </row>
    <row r="114" spans="1:14">
      <c r="A114" s="81">
        <v>45377</v>
      </c>
      <c r="B114" s="82" t="s">
        <v>182</v>
      </c>
      <c r="C114" s="82" t="s">
        <v>31</v>
      </c>
      <c r="D114" s="82" t="s">
        <v>27</v>
      </c>
      <c r="E114" s="82" t="s">
        <v>30</v>
      </c>
      <c r="F114" s="83">
        <v>10</v>
      </c>
      <c r="G114" s="84">
        <v>644.28</v>
      </c>
      <c r="H114" s="85">
        <v>0.05</v>
      </c>
      <c r="I114" s="86">
        <f t="shared" si="2"/>
        <v>6120.6599999999989</v>
      </c>
      <c r="J114" s="86">
        <v>4123.3900000000003</v>
      </c>
      <c r="K114" s="86">
        <f t="shared" si="3"/>
        <v>1997.2699999999986</v>
      </c>
      <c r="L114" s="87" t="s">
        <v>59</v>
      </c>
      <c r="M114" s="87" t="s">
        <v>68</v>
      </c>
      <c r="N114" s="88" t="s">
        <v>71</v>
      </c>
    </row>
    <row r="115" spans="1:14">
      <c r="A115" s="81">
        <v>45377</v>
      </c>
      <c r="B115" s="82" t="s">
        <v>183</v>
      </c>
      <c r="C115" s="82" t="s">
        <v>40</v>
      </c>
      <c r="D115" s="82" t="s">
        <v>32</v>
      </c>
      <c r="E115" s="82" t="s">
        <v>46</v>
      </c>
      <c r="F115" s="83">
        <v>12</v>
      </c>
      <c r="G115" s="84">
        <v>94.76</v>
      </c>
      <c r="H115" s="85">
        <v>0.08</v>
      </c>
      <c r="I115" s="86">
        <f t="shared" si="2"/>
        <v>1046.1504000000002</v>
      </c>
      <c r="J115" s="86">
        <v>545.82000000000005</v>
      </c>
      <c r="K115" s="86">
        <f t="shared" si="3"/>
        <v>500.33040000000017</v>
      </c>
      <c r="L115" s="87" t="s">
        <v>59</v>
      </c>
      <c r="M115" s="87" t="s">
        <v>68</v>
      </c>
      <c r="N115" s="88" t="s">
        <v>65</v>
      </c>
    </row>
    <row r="116" spans="1:14">
      <c r="A116" s="81">
        <v>45377</v>
      </c>
      <c r="B116" s="82" t="s">
        <v>184</v>
      </c>
      <c r="C116" s="82" t="s">
        <v>26</v>
      </c>
      <c r="D116" s="82" t="s">
        <v>27</v>
      </c>
      <c r="E116" s="82" t="s">
        <v>35</v>
      </c>
      <c r="F116" s="83">
        <v>2</v>
      </c>
      <c r="G116" s="84">
        <v>364.59</v>
      </c>
      <c r="H116" s="85">
        <v>0.12</v>
      </c>
      <c r="I116" s="86">
        <f t="shared" si="2"/>
        <v>641.67840000000001</v>
      </c>
      <c r="J116" s="86">
        <v>437.51</v>
      </c>
      <c r="K116" s="86">
        <f t="shared" si="3"/>
        <v>204.16840000000002</v>
      </c>
      <c r="L116" s="87" t="s">
        <v>67</v>
      </c>
      <c r="M116" s="87" t="s">
        <v>64</v>
      </c>
      <c r="N116" s="88" t="s">
        <v>71</v>
      </c>
    </row>
    <row r="117" spans="1:14">
      <c r="A117" s="81">
        <v>45378</v>
      </c>
      <c r="B117" s="82" t="s">
        <v>185</v>
      </c>
      <c r="C117" s="82" t="s">
        <v>36</v>
      </c>
      <c r="D117" s="82" t="s">
        <v>37</v>
      </c>
      <c r="E117" s="82" t="s">
        <v>47</v>
      </c>
      <c r="F117" s="83">
        <v>8</v>
      </c>
      <c r="G117" s="84">
        <v>124.14</v>
      </c>
      <c r="H117" s="85">
        <v>0</v>
      </c>
      <c r="I117" s="86">
        <f t="shared" si="2"/>
        <v>993.12</v>
      </c>
      <c r="J117" s="86">
        <v>456.84</v>
      </c>
      <c r="K117" s="86">
        <f t="shared" si="3"/>
        <v>536.28</v>
      </c>
      <c r="L117" s="87" t="s">
        <v>59</v>
      </c>
      <c r="M117" s="87" t="s">
        <v>60</v>
      </c>
      <c r="N117" s="88" t="s">
        <v>65</v>
      </c>
    </row>
    <row r="118" spans="1:14">
      <c r="A118" s="81">
        <v>45381</v>
      </c>
      <c r="B118" s="82" t="s">
        <v>186</v>
      </c>
      <c r="C118" s="82" t="s">
        <v>40</v>
      </c>
      <c r="D118" s="82" t="s">
        <v>37</v>
      </c>
      <c r="E118" s="82" t="s">
        <v>48</v>
      </c>
      <c r="F118" s="83">
        <v>1</v>
      </c>
      <c r="G118" s="84">
        <v>66.62</v>
      </c>
      <c r="H118" s="85">
        <v>0.05</v>
      </c>
      <c r="I118" s="86">
        <f t="shared" si="2"/>
        <v>63.289000000000001</v>
      </c>
      <c r="J118" s="86">
        <v>27.98</v>
      </c>
      <c r="K118" s="86">
        <f t="shared" si="3"/>
        <v>35.308999999999997</v>
      </c>
      <c r="L118" s="87" t="s">
        <v>67</v>
      </c>
      <c r="M118" s="87" t="s">
        <v>60</v>
      </c>
      <c r="N118" s="88" t="s">
        <v>71</v>
      </c>
    </row>
    <row r="119" spans="1:14">
      <c r="A119" s="81">
        <v>45381</v>
      </c>
      <c r="B119" s="82" t="s">
        <v>187</v>
      </c>
      <c r="C119" s="82" t="s">
        <v>36</v>
      </c>
      <c r="D119" s="82" t="s">
        <v>27</v>
      </c>
      <c r="E119" s="82" t="s">
        <v>35</v>
      </c>
      <c r="F119" s="83">
        <v>9</v>
      </c>
      <c r="G119" s="84">
        <v>370.03</v>
      </c>
      <c r="H119" s="85">
        <v>0.05</v>
      </c>
      <c r="I119" s="86">
        <f t="shared" si="2"/>
        <v>3163.7564999999995</v>
      </c>
      <c r="J119" s="86">
        <v>1998.16</v>
      </c>
      <c r="K119" s="86">
        <f t="shared" si="3"/>
        <v>1165.5964999999994</v>
      </c>
      <c r="L119" s="87" t="s">
        <v>63</v>
      </c>
      <c r="M119" s="87" t="s">
        <v>68</v>
      </c>
      <c r="N119" s="88" t="s">
        <v>74</v>
      </c>
    </row>
    <row r="120" spans="1:14">
      <c r="A120" s="81">
        <v>45383</v>
      </c>
      <c r="B120" s="82" t="s">
        <v>188</v>
      </c>
      <c r="C120" s="82" t="s">
        <v>26</v>
      </c>
      <c r="D120" s="82" t="s">
        <v>37</v>
      </c>
      <c r="E120" s="82" t="s">
        <v>47</v>
      </c>
      <c r="F120" s="83">
        <v>6</v>
      </c>
      <c r="G120" s="84">
        <v>125.4</v>
      </c>
      <c r="H120" s="85">
        <v>0.08</v>
      </c>
      <c r="I120" s="86">
        <f t="shared" si="2"/>
        <v>692.20800000000008</v>
      </c>
      <c r="J120" s="86">
        <v>346.1</v>
      </c>
      <c r="K120" s="86">
        <f t="shared" si="3"/>
        <v>346.10800000000006</v>
      </c>
      <c r="L120" s="87" t="s">
        <v>67</v>
      </c>
      <c r="M120" s="87" t="s">
        <v>60</v>
      </c>
      <c r="N120" s="88" t="s">
        <v>78</v>
      </c>
    </row>
    <row r="121" spans="1:14">
      <c r="A121" s="81">
        <v>45383</v>
      </c>
      <c r="B121" s="82" t="s">
        <v>189</v>
      </c>
      <c r="C121" s="82" t="s">
        <v>36</v>
      </c>
      <c r="D121" s="82" t="s">
        <v>27</v>
      </c>
      <c r="E121" s="82" t="s">
        <v>35</v>
      </c>
      <c r="F121" s="83">
        <v>7</v>
      </c>
      <c r="G121" s="84">
        <v>373.54</v>
      </c>
      <c r="H121" s="85">
        <v>0</v>
      </c>
      <c r="I121" s="86">
        <f t="shared" si="2"/>
        <v>2614.7800000000002</v>
      </c>
      <c r="J121" s="86">
        <v>1568.87</v>
      </c>
      <c r="K121" s="86">
        <f t="shared" si="3"/>
        <v>1045.9100000000003</v>
      </c>
      <c r="L121" s="87" t="s">
        <v>67</v>
      </c>
      <c r="M121" s="87" t="s">
        <v>60</v>
      </c>
      <c r="N121" s="88" t="s">
        <v>71</v>
      </c>
    </row>
    <row r="122" spans="1:14">
      <c r="A122" s="81">
        <v>45383</v>
      </c>
      <c r="B122" s="82" t="s">
        <v>190</v>
      </c>
      <c r="C122" s="82" t="s">
        <v>31</v>
      </c>
      <c r="D122" s="82" t="s">
        <v>27</v>
      </c>
      <c r="E122" s="82" t="s">
        <v>30</v>
      </c>
      <c r="F122" s="83">
        <v>6</v>
      </c>
      <c r="G122" s="84">
        <v>603.53</v>
      </c>
      <c r="H122" s="85">
        <v>0.08</v>
      </c>
      <c r="I122" s="86">
        <f t="shared" si="2"/>
        <v>3331.4856</v>
      </c>
      <c r="J122" s="86">
        <v>2317.56</v>
      </c>
      <c r="K122" s="86">
        <f t="shared" si="3"/>
        <v>1013.9256</v>
      </c>
      <c r="L122" s="87" t="s">
        <v>67</v>
      </c>
      <c r="M122" s="87" t="s">
        <v>60</v>
      </c>
      <c r="N122" s="88" t="s">
        <v>69</v>
      </c>
    </row>
    <row r="123" spans="1:14">
      <c r="A123" s="81">
        <v>45384</v>
      </c>
      <c r="B123" s="82" t="s">
        <v>191</v>
      </c>
      <c r="C123" s="82" t="s">
        <v>36</v>
      </c>
      <c r="D123" s="82" t="s">
        <v>32</v>
      </c>
      <c r="E123" s="82" t="s">
        <v>42</v>
      </c>
      <c r="F123" s="83">
        <v>5</v>
      </c>
      <c r="G123" s="84">
        <v>787.96</v>
      </c>
      <c r="H123" s="85">
        <v>0.1</v>
      </c>
      <c r="I123" s="86">
        <f t="shared" si="2"/>
        <v>3545.82</v>
      </c>
      <c r="J123" s="86">
        <v>2403.2800000000002</v>
      </c>
      <c r="K123" s="86">
        <f t="shared" si="3"/>
        <v>1142.54</v>
      </c>
      <c r="L123" s="87" t="s">
        <v>63</v>
      </c>
      <c r="M123" s="87" t="s">
        <v>60</v>
      </c>
      <c r="N123" s="88" t="s">
        <v>78</v>
      </c>
    </row>
    <row r="124" spans="1:14">
      <c r="A124" s="81">
        <v>45386</v>
      </c>
      <c r="B124" s="82" t="s">
        <v>192</v>
      </c>
      <c r="C124" s="82" t="s">
        <v>26</v>
      </c>
      <c r="D124" s="82" t="s">
        <v>37</v>
      </c>
      <c r="E124" s="82" t="s">
        <v>47</v>
      </c>
      <c r="F124" s="83">
        <v>2</v>
      </c>
      <c r="G124" s="84">
        <v>126.48</v>
      </c>
      <c r="H124" s="85">
        <v>0.03</v>
      </c>
      <c r="I124" s="86">
        <f t="shared" si="2"/>
        <v>245.37119999999999</v>
      </c>
      <c r="J124" s="86">
        <v>116.36</v>
      </c>
      <c r="K124" s="86">
        <f t="shared" si="3"/>
        <v>129.01119999999997</v>
      </c>
      <c r="L124" s="87" t="s">
        <v>63</v>
      </c>
      <c r="M124" s="87" t="s">
        <v>64</v>
      </c>
      <c r="N124" s="88" t="s">
        <v>78</v>
      </c>
    </row>
    <row r="125" spans="1:14">
      <c r="A125" s="81">
        <v>45387</v>
      </c>
      <c r="B125" s="82" t="s">
        <v>193</v>
      </c>
      <c r="C125" s="82" t="s">
        <v>40</v>
      </c>
      <c r="D125" s="82" t="s">
        <v>27</v>
      </c>
      <c r="E125" s="82" t="s">
        <v>35</v>
      </c>
      <c r="F125" s="83">
        <v>4</v>
      </c>
      <c r="G125" s="84">
        <v>372.44</v>
      </c>
      <c r="H125" s="85">
        <v>0.1</v>
      </c>
      <c r="I125" s="86">
        <f t="shared" si="2"/>
        <v>1340.7840000000001</v>
      </c>
      <c r="J125" s="86">
        <v>893.86</v>
      </c>
      <c r="K125" s="86">
        <f t="shared" si="3"/>
        <v>446.92400000000009</v>
      </c>
      <c r="L125" s="87" t="s">
        <v>63</v>
      </c>
      <c r="M125" s="87" t="s">
        <v>64</v>
      </c>
      <c r="N125" s="88" t="s">
        <v>74</v>
      </c>
    </row>
    <row r="126" spans="1:14">
      <c r="A126" s="81">
        <v>45387</v>
      </c>
      <c r="B126" s="82" t="s">
        <v>194</v>
      </c>
      <c r="C126" s="82" t="s">
        <v>31</v>
      </c>
      <c r="D126" s="82" t="s">
        <v>27</v>
      </c>
      <c r="E126" s="82" t="s">
        <v>30</v>
      </c>
      <c r="F126" s="83">
        <v>7</v>
      </c>
      <c r="G126" s="84">
        <v>599.96</v>
      </c>
      <c r="H126" s="85">
        <v>0</v>
      </c>
      <c r="I126" s="86">
        <f t="shared" si="2"/>
        <v>4199.72</v>
      </c>
      <c r="J126" s="86">
        <v>2687.82</v>
      </c>
      <c r="K126" s="86">
        <f t="shared" si="3"/>
        <v>1511.9</v>
      </c>
      <c r="L126" s="87" t="s">
        <v>63</v>
      </c>
      <c r="M126" s="87" t="s">
        <v>64</v>
      </c>
      <c r="N126" s="88" t="s">
        <v>65</v>
      </c>
    </row>
    <row r="127" spans="1:14">
      <c r="A127" s="81">
        <v>45387</v>
      </c>
      <c r="B127" s="82" t="s">
        <v>195</v>
      </c>
      <c r="C127" s="82" t="s">
        <v>26</v>
      </c>
      <c r="D127" s="82" t="s">
        <v>37</v>
      </c>
      <c r="E127" s="82" t="s">
        <v>48</v>
      </c>
      <c r="F127" s="83">
        <v>9</v>
      </c>
      <c r="G127" s="84">
        <v>68.010000000000005</v>
      </c>
      <c r="H127" s="85">
        <v>0.03</v>
      </c>
      <c r="I127" s="86">
        <f t="shared" si="2"/>
        <v>593.72730000000001</v>
      </c>
      <c r="J127" s="86">
        <v>257.08</v>
      </c>
      <c r="K127" s="86">
        <f t="shared" si="3"/>
        <v>336.64730000000003</v>
      </c>
      <c r="L127" s="87" t="s">
        <v>67</v>
      </c>
      <c r="M127" s="87" t="s">
        <v>64</v>
      </c>
      <c r="N127" s="88" t="s">
        <v>65</v>
      </c>
    </row>
    <row r="128" spans="1:14">
      <c r="A128" s="81">
        <v>45388</v>
      </c>
      <c r="B128" s="82" t="s">
        <v>196</v>
      </c>
      <c r="C128" s="82" t="s">
        <v>31</v>
      </c>
      <c r="D128" s="82" t="s">
        <v>32</v>
      </c>
      <c r="E128" s="82" t="s">
        <v>42</v>
      </c>
      <c r="F128" s="83">
        <v>8</v>
      </c>
      <c r="G128" s="84">
        <v>754.95</v>
      </c>
      <c r="H128" s="85">
        <v>0</v>
      </c>
      <c r="I128" s="86">
        <f t="shared" si="2"/>
        <v>6039.6</v>
      </c>
      <c r="J128" s="86">
        <v>3684.16</v>
      </c>
      <c r="K128" s="86">
        <f t="shared" si="3"/>
        <v>2355.4400000000005</v>
      </c>
      <c r="L128" s="87" t="s">
        <v>67</v>
      </c>
      <c r="M128" s="87" t="s">
        <v>64</v>
      </c>
      <c r="N128" s="88" t="s">
        <v>61</v>
      </c>
    </row>
    <row r="129" spans="1:14">
      <c r="A129" s="81">
        <v>45388</v>
      </c>
      <c r="B129" s="82" t="s">
        <v>197</v>
      </c>
      <c r="C129" s="82" t="s">
        <v>40</v>
      </c>
      <c r="D129" s="82" t="s">
        <v>32</v>
      </c>
      <c r="E129" s="82" t="s">
        <v>39</v>
      </c>
      <c r="F129" s="83">
        <v>5</v>
      </c>
      <c r="G129" s="84">
        <v>440.51</v>
      </c>
      <c r="H129" s="85">
        <v>0.1</v>
      </c>
      <c r="I129" s="86">
        <f t="shared" si="2"/>
        <v>1982.2950000000003</v>
      </c>
      <c r="J129" s="86">
        <v>1255.45</v>
      </c>
      <c r="K129" s="86">
        <f t="shared" si="3"/>
        <v>726.84500000000025</v>
      </c>
      <c r="L129" s="87" t="s">
        <v>63</v>
      </c>
      <c r="M129" s="87" t="s">
        <v>60</v>
      </c>
      <c r="N129" s="88" t="s">
        <v>78</v>
      </c>
    </row>
    <row r="130" spans="1:14">
      <c r="A130" s="81">
        <v>45389</v>
      </c>
      <c r="B130" s="82" t="s">
        <v>198</v>
      </c>
      <c r="C130" s="82" t="s">
        <v>26</v>
      </c>
      <c r="D130" s="82" t="s">
        <v>27</v>
      </c>
      <c r="E130" s="82" t="s">
        <v>30</v>
      </c>
      <c r="F130" s="83">
        <v>4</v>
      </c>
      <c r="G130" s="84">
        <v>645.41999999999996</v>
      </c>
      <c r="H130" s="85">
        <v>0.08</v>
      </c>
      <c r="I130" s="86">
        <f t="shared" ref="I130:I193" si="4">F130*G130*(1-H130)</f>
        <v>2375.1455999999998</v>
      </c>
      <c r="J130" s="86">
        <v>1652.28</v>
      </c>
      <c r="K130" s="86">
        <f t="shared" ref="K130:K193" si="5">I130-J130</f>
        <v>722.86559999999986</v>
      </c>
      <c r="L130" s="87" t="s">
        <v>59</v>
      </c>
      <c r="M130" s="87" t="s">
        <v>68</v>
      </c>
      <c r="N130" s="88" t="s">
        <v>71</v>
      </c>
    </row>
    <row r="131" spans="1:14">
      <c r="A131" s="81">
        <v>45389</v>
      </c>
      <c r="B131" s="82" t="s">
        <v>199</v>
      </c>
      <c r="C131" s="82" t="s">
        <v>36</v>
      </c>
      <c r="D131" s="82" t="s">
        <v>32</v>
      </c>
      <c r="E131" s="82" t="s">
        <v>39</v>
      </c>
      <c r="F131" s="83">
        <v>2</v>
      </c>
      <c r="G131" s="84">
        <v>422.12</v>
      </c>
      <c r="H131" s="85">
        <v>0.12</v>
      </c>
      <c r="I131" s="86">
        <f t="shared" si="4"/>
        <v>742.93119999999999</v>
      </c>
      <c r="J131" s="86">
        <v>481.22</v>
      </c>
      <c r="K131" s="86">
        <f t="shared" si="5"/>
        <v>261.71119999999996</v>
      </c>
      <c r="L131" s="87" t="s">
        <v>67</v>
      </c>
      <c r="M131" s="87" t="s">
        <v>64</v>
      </c>
      <c r="N131" s="88" t="s">
        <v>61</v>
      </c>
    </row>
    <row r="132" spans="1:14">
      <c r="A132" s="81">
        <v>45389</v>
      </c>
      <c r="B132" s="82" t="s">
        <v>200</v>
      </c>
      <c r="C132" s="82" t="s">
        <v>31</v>
      </c>
      <c r="D132" s="82" t="s">
        <v>32</v>
      </c>
      <c r="E132" s="82" t="s">
        <v>42</v>
      </c>
      <c r="F132" s="83">
        <v>3</v>
      </c>
      <c r="G132" s="84">
        <v>756.14</v>
      </c>
      <c r="H132" s="85">
        <v>0.03</v>
      </c>
      <c r="I132" s="86">
        <f t="shared" si="4"/>
        <v>2200.3674000000001</v>
      </c>
      <c r="J132" s="86">
        <v>1383.74</v>
      </c>
      <c r="K132" s="86">
        <f t="shared" si="5"/>
        <v>816.62740000000008</v>
      </c>
      <c r="L132" s="87" t="s">
        <v>63</v>
      </c>
      <c r="M132" s="87" t="s">
        <v>60</v>
      </c>
      <c r="N132" s="88" t="s">
        <v>74</v>
      </c>
    </row>
    <row r="133" spans="1:14">
      <c r="A133" s="81">
        <v>45390</v>
      </c>
      <c r="B133" s="82" t="s">
        <v>201</v>
      </c>
      <c r="C133" s="82" t="s">
        <v>26</v>
      </c>
      <c r="D133" s="82" t="s">
        <v>37</v>
      </c>
      <c r="E133" s="82" t="s">
        <v>48</v>
      </c>
      <c r="F133" s="83">
        <v>5</v>
      </c>
      <c r="G133" s="84">
        <v>68.459999999999994</v>
      </c>
      <c r="H133" s="85">
        <v>0</v>
      </c>
      <c r="I133" s="86">
        <f t="shared" si="4"/>
        <v>342.29999999999995</v>
      </c>
      <c r="J133" s="86">
        <v>143.77000000000001</v>
      </c>
      <c r="K133" s="86">
        <f t="shared" si="5"/>
        <v>198.52999999999994</v>
      </c>
      <c r="L133" s="87" t="s">
        <v>59</v>
      </c>
      <c r="M133" s="87" t="s">
        <v>68</v>
      </c>
      <c r="N133" s="88" t="s">
        <v>78</v>
      </c>
    </row>
    <row r="134" spans="1:14">
      <c r="A134" s="81">
        <v>45391</v>
      </c>
      <c r="B134" s="82" t="s">
        <v>202</v>
      </c>
      <c r="C134" s="82" t="s">
        <v>40</v>
      </c>
      <c r="D134" s="82" t="s">
        <v>27</v>
      </c>
      <c r="E134" s="82" t="s">
        <v>25</v>
      </c>
      <c r="F134" s="83">
        <v>4</v>
      </c>
      <c r="G134" s="84">
        <v>1220.75</v>
      </c>
      <c r="H134" s="85">
        <v>0.12</v>
      </c>
      <c r="I134" s="86">
        <f t="shared" si="4"/>
        <v>4297.04</v>
      </c>
      <c r="J134" s="86">
        <v>3320.44</v>
      </c>
      <c r="K134" s="86">
        <f t="shared" si="5"/>
        <v>976.59999999999991</v>
      </c>
      <c r="L134" s="87" t="s">
        <v>63</v>
      </c>
      <c r="M134" s="87" t="s">
        <v>60</v>
      </c>
      <c r="N134" s="88" t="s">
        <v>65</v>
      </c>
    </row>
    <row r="135" spans="1:14">
      <c r="A135" s="81">
        <v>45392</v>
      </c>
      <c r="B135" s="82" t="s">
        <v>203</v>
      </c>
      <c r="C135" s="82" t="s">
        <v>26</v>
      </c>
      <c r="D135" s="82" t="s">
        <v>27</v>
      </c>
      <c r="E135" s="82" t="s">
        <v>35</v>
      </c>
      <c r="F135" s="83">
        <v>5</v>
      </c>
      <c r="G135" s="84">
        <v>349.59</v>
      </c>
      <c r="H135" s="85">
        <v>0.08</v>
      </c>
      <c r="I135" s="86">
        <f t="shared" si="4"/>
        <v>1608.1139999999998</v>
      </c>
      <c r="J135" s="86">
        <v>1048.77</v>
      </c>
      <c r="K135" s="86">
        <f t="shared" si="5"/>
        <v>559.34399999999982</v>
      </c>
      <c r="L135" s="87" t="s">
        <v>63</v>
      </c>
      <c r="M135" s="87" t="s">
        <v>64</v>
      </c>
      <c r="N135" s="88" t="s">
        <v>71</v>
      </c>
    </row>
    <row r="136" spans="1:14">
      <c r="A136" s="81">
        <v>45393</v>
      </c>
      <c r="B136" s="82" t="s">
        <v>204</v>
      </c>
      <c r="C136" s="82" t="s">
        <v>31</v>
      </c>
      <c r="D136" s="82" t="s">
        <v>27</v>
      </c>
      <c r="E136" s="82" t="s">
        <v>30</v>
      </c>
      <c r="F136" s="83">
        <v>3</v>
      </c>
      <c r="G136" s="84">
        <v>656.25</v>
      </c>
      <c r="H136" s="85">
        <v>0.05</v>
      </c>
      <c r="I136" s="86">
        <f t="shared" si="4"/>
        <v>1870.3125</v>
      </c>
      <c r="J136" s="86">
        <v>1260</v>
      </c>
      <c r="K136" s="86">
        <f t="shared" si="5"/>
        <v>610.3125</v>
      </c>
      <c r="L136" s="87" t="s">
        <v>59</v>
      </c>
      <c r="M136" s="87" t="s">
        <v>60</v>
      </c>
      <c r="N136" s="88" t="s">
        <v>78</v>
      </c>
    </row>
    <row r="137" spans="1:14">
      <c r="A137" s="81">
        <v>45393</v>
      </c>
      <c r="B137" s="82" t="s">
        <v>205</v>
      </c>
      <c r="C137" s="82" t="s">
        <v>40</v>
      </c>
      <c r="D137" s="82" t="s">
        <v>27</v>
      </c>
      <c r="E137" s="82" t="s">
        <v>30</v>
      </c>
      <c r="F137" s="83">
        <v>4</v>
      </c>
      <c r="G137" s="84">
        <v>624.5</v>
      </c>
      <c r="H137" s="85">
        <v>0.03</v>
      </c>
      <c r="I137" s="86">
        <f t="shared" si="4"/>
        <v>2423.06</v>
      </c>
      <c r="J137" s="86">
        <v>1598.72</v>
      </c>
      <c r="K137" s="86">
        <f t="shared" si="5"/>
        <v>824.33999999999992</v>
      </c>
      <c r="L137" s="87" t="s">
        <v>59</v>
      </c>
      <c r="M137" s="87" t="s">
        <v>64</v>
      </c>
      <c r="N137" s="88" t="s">
        <v>78</v>
      </c>
    </row>
    <row r="138" spans="1:14">
      <c r="A138" s="81">
        <v>45393</v>
      </c>
      <c r="B138" s="82" t="s">
        <v>206</v>
      </c>
      <c r="C138" s="82" t="s">
        <v>36</v>
      </c>
      <c r="D138" s="82" t="s">
        <v>27</v>
      </c>
      <c r="E138" s="82" t="s">
        <v>25</v>
      </c>
      <c r="F138" s="83">
        <v>9</v>
      </c>
      <c r="G138" s="84">
        <v>1213.4100000000001</v>
      </c>
      <c r="H138" s="85">
        <v>0</v>
      </c>
      <c r="I138" s="86">
        <f t="shared" si="4"/>
        <v>10920.69</v>
      </c>
      <c r="J138" s="86">
        <v>7426.07</v>
      </c>
      <c r="K138" s="86">
        <f t="shared" si="5"/>
        <v>3494.6200000000008</v>
      </c>
      <c r="L138" s="87" t="s">
        <v>59</v>
      </c>
      <c r="M138" s="87" t="s">
        <v>68</v>
      </c>
      <c r="N138" s="88" t="s">
        <v>74</v>
      </c>
    </row>
    <row r="139" spans="1:14">
      <c r="A139" s="81">
        <v>45394</v>
      </c>
      <c r="B139" s="82" t="s">
        <v>207</v>
      </c>
      <c r="C139" s="82" t="s">
        <v>26</v>
      </c>
      <c r="D139" s="82" t="s">
        <v>27</v>
      </c>
      <c r="E139" s="82" t="s">
        <v>35</v>
      </c>
      <c r="F139" s="83">
        <v>12</v>
      </c>
      <c r="G139" s="84">
        <v>351.98</v>
      </c>
      <c r="H139" s="85">
        <v>0.03</v>
      </c>
      <c r="I139" s="86">
        <f t="shared" si="4"/>
        <v>4097.0472</v>
      </c>
      <c r="J139" s="86">
        <v>2534.2600000000002</v>
      </c>
      <c r="K139" s="86">
        <f t="shared" si="5"/>
        <v>1562.7871999999998</v>
      </c>
      <c r="L139" s="87" t="s">
        <v>67</v>
      </c>
      <c r="M139" s="87" t="s">
        <v>68</v>
      </c>
      <c r="N139" s="88" t="s">
        <v>61</v>
      </c>
    </row>
    <row r="140" spans="1:14">
      <c r="A140" s="81">
        <v>45395</v>
      </c>
      <c r="B140" s="82" t="s">
        <v>208</v>
      </c>
      <c r="C140" s="82" t="s">
        <v>31</v>
      </c>
      <c r="D140" s="82" t="s">
        <v>32</v>
      </c>
      <c r="E140" s="82" t="s">
        <v>42</v>
      </c>
      <c r="F140" s="83">
        <v>2</v>
      </c>
      <c r="G140" s="84">
        <v>768.37</v>
      </c>
      <c r="H140" s="85">
        <v>0.05</v>
      </c>
      <c r="I140" s="86">
        <f t="shared" si="4"/>
        <v>1459.903</v>
      </c>
      <c r="J140" s="86">
        <v>937.41</v>
      </c>
      <c r="K140" s="86">
        <f t="shared" si="5"/>
        <v>522.49300000000005</v>
      </c>
      <c r="L140" s="87" t="s">
        <v>63</v>
      </c>
      <c r="M140" s="87" t="s">
        <v>60</v>
      </c>
      <c r="N140" s="88" t="s">
        <v>61</v>
      </c>
    </row>
    <row r="141" spans="1:14">
      <c r="A141" s="81">
        <v>45395</v>
      </c>
      <c r="B141" s="82" t="s">
        <v>209</v>
      </c>
      <c r="C141" s="82" t="s">
        <v>31</v>
      </c>
      <c r="D141" s="82" t="s">
        <v>37</v>
      </c>
      <c r="E141" s="82" t="s">
        <v>47</v>
      </c>
      <c r="F141" s="83">
        <v>2</v>
      </c>
      <c r="G141" s="84">
        <v>127.13</v>
      </c>
      <c r="H141" s="85">
        <v>0.1</v>
      </c>
      <c r="I141" s="86">
        <f t="shared" si="4"/>
        <v>228.834</v>
      </c>
      <c r="J141" s="86">
        <v>116.96</v>
      </c>
      <c r="K141" s="86">
        <f t="shared" si="5"/>
        <v>111.87400000000001</v>
      </c>
      <c r="L141" s="87" t="s">
        <v>59</v>
      </c>
      <c r="M141" s="87" t="s">
        <v>64</v>
      </c>
      <c r="N141" s="88" t="s">
        <v>71</v>
      </c>
    </row>
    <row r="142" spans="1:14">
      <c r="A142" s="81">
        <v>45398</v>
      </c>
      <c r="B142" s="82" t="s">
        <v>210</v>
      </c>
      <c r="C142" s="82" t="s">
        <v>26</v>
      </c>
      <c r="D142" s="82" t="s">
        <v>27</v>
      </c>
      <c r="E142" s="82" t="s">
        <v>25</v>
      </c>
      <c r="F142" s="83">
        <v>11</v>
      </c>
      <c r="G142" s="84">
        <v>1151.52</v>
      </c>
      <c r="H142" s="85">
        <v>0.03</v>
      </c>
      <c r="I142" s="86">
        <f t="shared" si="4"/>
        <v>12286.7184</v>
      </c>
      <c r="J142" s="86">
        <v>8613.3700000000008</v>
      </c>
      <c r="K142" s="86">
        <f t="shared" si="5"/>
        <v>3673.3483999999989</v>
      </c>
      <c r="L142" s="87" t="s">
        <v>67</v>
      </c>
      <c r="M142" s="87" t="s">
        <v>68</v>
      </c>
      <c r="N142" s="88" t="s">
        <v>65</v>
      </c>
    </row>
    <row r="143" spans="1:14">
      <c r="A143" s="81">
        <v>45399</v>
      </c>
      <c r="B143" s="82" t="s">
        <v>211</v>
      </c>
      <c r="C143" s="82" t="s">
        <v>31</v>
      </c>
      <c r="D143" s="82" t="s">
        <v>27</v>
      </c>
      <c r="E143" s="82" t="s">
        <v>25</v>
      </c>
      <c r="F143" s="83">
        <v>11</v>
      </c>
      <c r="G143" s="84">
        <v>1216.3599999999999</v>
      </c>
      <c r="H143" s="85">
        <v>0</v>
      </c>
      <c r="I143" s="86">
        <f t="shared" si="4"/>
        <v>13379.96</v>
      </c>
      <c r="J143" s="86">
        <v>9098.3700000000008</v>
      </c>
      <c r="K143" s="86">
        <f t="shared" si="5"/>
        <v>4281.5899999999983</v>
      </c>
      <c r="L143" s="87" t="s">
        <v>67</v>
      </c>
      <c r="M143" s="87" t="s">
        <v>68</v>
      </c>
      <c r="N143" s="88" t="s">
        <v>61</v>
      </c>
    </row>
    <row r="144" spans="1:14">
      <c r="A144" s="81">
        <v>45400</v>
      </c>
      <c r="B144" s="82" t="s">
        <v>212</v>
      </c>
      <c r="C144" s="82" t="s">
        <v>31</v>
      </c>
      <c r="D144" s="82" t="s">
        <v>37</v>
      </c>
      <c r="E144" s="82" t="s">
        <v>47</v>
      </c>
      <c r="F144" s="83">
        <v>4</v>
      </c>
      <c r="G144" s="84">
        <v>123.41</v>
      </c>
      <c r="H144" s="85">
        <v>0</v>
      </c>
      <c r="I144" s="86">
        <f t="shared" si="4"/>
        <v>493.64</v>
      </c>
      <c r="J144" s="86">
        <v>227.07</v>
      </c>
      <c r="K144" s="86">
        <f t="shared" si="5"/>
        <v>266.57</v>
      </c>
      <c r="L144" s="87" t="s">
        <v>67</v>
      </c>
      <c r="M144" s="87" t="s">
        <v>60</v>
      </c>
      <c r="N144" s="88" t="s">
        <v>65</v>
      </c>
    </row>
    <row r="145" spans="1:14">
      <c r="A145" s="81">
        <v>45400</v>
      </c>
      <c r="B145" s="82" t="s">
        <v>213</v>
      </c>
      <c r="C145" s="82" t="s">
        <v>40</v>
      </c>
      <c r="D145" s="82" t="s">
        <v>27</v>
      </c>
      <c r="E145" s="82" t="s">
        <v>25</v>
      </c>
      <c r="F145" s="83">
        <v>2</v>
      </c>
      <c r="G145" s="84">
        <v>1139.08</v>
      </c>
      <c r="H145" s="85">
        <v>0.05</v>
      </c>
      <c r="I145" s="86">
        <f t="shared" si="4"/>
        <v>2164.252</v>
      </c>
      <c r="J145" s="86">
        <v>1549.15</v>
      </c>
      <c r="K145" s="86">
        <f t="shared" si="5"/>
        <v>615.10199999999986</v>
      </c>
      <c r="L145" s="87" t="s">
        <v>59</v>
      </c>
      <c r="M145" s="87" t="s">
        <v>68</v>
      </c>
      <c r="N145" s="88" t="s">
        <v>69</v>
      </c>
    </row>
    <row r="146" spans="1:14">
      <c r="A146" s="81">
        <v>45400</v>
      </c>
      <c r="B146" s="82" t="s">
        <v>214</v>
      </c>
      <c r="C146" s="82" t="s">
        <v>31</v>
      </c>
      <c r="D146" s="82" t="s">
        <v>37</v>
      </c>
      <c r="E146" s="82" t="s">
        <v>47</v>
      </c>
      <c r="F146" s="83">
        <v>7</v>
      </c>
      <c r="G146" s="84">
        <v>125.58</v>
      </c>
      <c r="H146" s="85">
        <v>0</v>
      </c>
      <c r="I146" s="86">
        <f t="shared" si="4"/>
        <v>879.06</v>
      </c>
      <c r="J146" s="86">
        <v>404.37</v>
      </c>
      <c r="K146" s="86">
        <f t="shared" si="5"/>
        <v>474.68999999999994</v>
      </c>
      <c r="L146" s="87" t="s">
        <v>67</v>
      </c>
      <c r="M146" s="87" t="s">
        <v>64</v>
      </c>
      <c r="N146" s="88" t="s">
        <v>61</v>
      </c>
    </row>
    <row r="147" spans="1:14">
      <c r="A147" s="81">
        <v>45401</v>
      </c>
      <c r="B147" s="82" t="s">
        <v>215</v>
      </c>
      <c r="C147" s="82" t="s">
        <v>31</v>
      </c>
      <c r="D147" s="82" t="s">
        <v>37</v>
      </c>
      <c r="E147" s="82" t="s">
        <v>47</v>
      </c>
      <c r="F147" s="83">
        <v>2</v>
      </c>
      <c r="G147" s="84">
        <v>121.13</v>
      </c>
      <c r="H147" s="85">
        <v>0.12</v>
      </c>
      <c r="I147" s="86">
        <f t="shared" si="4"/>
        <v>213.18879999999999</v>
      </c>
      <c r="J147" s="86">
        <v>111.44</v>
      </c>
      <c r="K147" s="86">
        <f t="shared" si="5"/>
        <v>101.74879999999999</v>
      </c>
      <c r="L147" s="87" t="s">
        <v>67</v>
      </c>
      <c r="M147" s="87" t="s">
        <v>64</v>
      </c>
      <c r="N147" s="88" t="s">
        <v>71</v>
      </c>
    </row>
    <row r="148" spans="1:14">
      <c r="A148" s="81">
        <v>45401</v>
      </c>
      <c r="B148" s="82" t="s">
        <v>216</v>
      </c>
      <c r="C148" s="82" t="s">
        <v>26</v>
      </c>
      <c r="D148" s="82" t="s">
        <v>37</v>
      </c>
      <c r="E148" s="82" t="s">
        <v>47</v>
      </c>
      <c r="F148" s="83">
        <v>8</v>
      </c>
      <c r="G148" s="84">
        <v>116.77</v>
      </c>
      <c r="H148" s="85">
        <v>0.08</v>
      </c>
      <c r="I148" s="86">
        <f t="shared" si="4"/>
        <v>859.42719999999997</v>
      </c>
      <c r="J148" s="86">
        <v>429.71</v>
      </c>
      <c r="K148" s="86">
        <f t="shared" si="5"/>
        <v>429.71719999999999</v>
      </c>
      <c r="L148" s="87" t="s">
        <v>59</v>
      </c>
      <c r="M148" s="87" t="s">
        <v>64</v>
      </c>
      <c r="N148" s="88" t="s">
        <v>71</v>
      </c>
    </row>
    <row r="149" spans="1:14">
      <c r="A149" s="81">
        <v>45401</v>
      </c>
      <c r="B149" s="82" t="s">
        <v>217</v>
      </c>
      <c r="C149" s="82" t="s">
        <v>26</v>
      </c>
      <c r="D149" s="82" t="s">
        <v>32</v>
      </c>
      <c r="E149" s="82" t="s">
        <v>46</v>
      </c>
      <c r="F149" s="83">
        <v>11</v>
      </c>
      <c r="G149" s="84">
        <v>96.21</v>
      </c>
      <c r="H149" s="85">
        <v>0</v>
      </c>
      <c r="I149" s="86">
        <f t="shared" si="4"/>
        <v>1058.31</v>
      </c>
      <c r="J149" s="86">
        <v>507.99</v>
      </c>
      <c r="K149" s="86">
        <f t="shared" si="5"/>
        <v>550.31999999999994</v>
      </c>
      <c r="L149" s="87" t="s">
        <v>67</v>
      </c>
      <c r="M149" s="87" t="s">
        <v>68</v>
      </c>
      <c r="N149" s="88" t="s">
        <v>74</v>
      </c>
    </row>
    <row r="150" spans="1:14">
      <c r="A150" s="81">
        <v>45402</v>
      </c>
      <c r="B150" s="82" t="s">
        <v>218</v>
      </c>
      <c r="C150" s="82" t="s">
        <v>31</v>
      </c>
      <c r="D150" s="82" t="s">
        <v>37</v>
      </c>
      <c r="E150" s="82" t="s">
        <v>47</v>
      </c>
      <c r="F150" s="83">
        <v>2</v>
      </c>
      <c r="G150" s="84">
        <v>125.08</v>
      </c>
      <c r="H150" s="85">
        <v>0.03</v>
      </c>
      <c r="I150" s="86">
        <f t="shared" si="4"/>
        <v>242.65519999999998</v>
      </c>
      <c r="J150" s="86">
        <v>115.07</v>
      </c>
      <c r="K150" s="86">
        <f t="shared" si="5"/>
        <v>127.58519999999999</v>
      </c>
      <c r="L150" s="87" t="s">
        <v>67</v>
      </c>
      <c r="M150" s="87" t="s">
        <v>60</v>
      </c>
      <c r="N150" s="88" t="s">
        <v>71</v>
      </c>
    </row>
    <row r="151" spans="1:14">
      <c r="A151" s="81">
        <v>45402</v>
      </c>
      <c r="B151" s="82" t="s">
        <v>219</v>
      </c>
      <c r="C151" s="82" t="s">
        <v>40</v>
      </c>
      <c r="D151" s="82" t="s">
        <v>27</v>
      </c>
      <c r="E151" s="82" t="s">
        <v>35</v>
      </c>
      <c r="F151" s="83">
        <v>8</v>
      </c>
      <c r="G151" s="84">
        <v>367.16</v>
      </c>
      <c r="H151" s="85">
        <v>0.03</v>
      </c>
      <c r="I151" s="86">
        <f t="shared" si="4"/>
        <v>2849.1615999999999</v>
      </c>
      <c r="J151" s="86">
        <v>1762.37</v>
      </c>
      <c r="K151" s="86">
        <f t="shared" si="5"/>
        <v>1086.7916</v>
      </c>
      <c r="L151" s="87" t="s">
        <v>59</v>
      </c>
      <c r="M151" s="87" t="s">
        <v>64</v>
      </c>
      <c r="N151" s="88" t="s">
        <v>71</v>
      </c>
    </row>
    <row r="152" spans="1:14">
      <c r="A152" s="81">
        <v>45404</v>
      </c>
      <c r="B152" s="82" t="s">
        <v>220</v>
      </c>
      <c r="C152" s="82" t="s">
        <v>26</v>
      </c>
      <c r="D152" s="82" t="s">
        <v>27</v>
      </c>
      <c r="E152" s="82" t="s">
        <v>25</v>
      </c>
      <c r="F152" s="83">
        <v>12</v>
      </c>
      <c r="G152" s="84">
        <v>1197.31</v>
      </c>
      <c r="H152" s="85">
        <v>0.05</v>
      </c>
      <c r="I152" s="86">
        <f t="shared" si="4"/>
        <v>13649.333999999999</v>
      </c>
      <c r="J152" s="86">
        <v>9770.0499999999993</v>
      </c>
      <c r="K152" s="86">
        <f t="shared" si="5"/>
        <v>3879.2839999999997</v>
      </c>
      <c r="L152" s="87" t="s">
        <v>67</v>
      </c>
      <c r="M152" s="87" t="s">
        <v>68</v>
      </c>
      <c r="N152" s="88" t="s">
        <v>71</v>
      </c>
    </row>
    <row r="153" spans="1:14">
      <c r="A153" s="81">
        <v>45404</v>
      </c>
      <c r="B153" s="82" t="s">
        <v>221</v>
      </c>
      <c r="C153" s="82" t="s">
        <v>26</v>
      </c>
      <c r="D153" s="82" t="s">
        <v>37</v>
      </c>
      <c r="E153" s="82" t="s">
        <v>47</v>
      </c>
      <c r="F153" s="83">
        <v>2</v>
      </c>
      <c r="G153" s="84">
        <v>122.99</v>
      </c>
      <c r="H153" s="85">
        <v>0</v>
      </c>
      <c r="I153" s="86">
        <f t="shared" si="4"/>
        <v>245.98</v>
      </c>
      <c r="J153" s="86">
        <v>113.15</v>
      </c>
      <c r="K153" s="86">
        <f t="shared" si="5"/>
        <v>132.82999999999998</v>
      </c>
      <c r="L153" s="87" t="s">
        <v>59</v>
      </c>
      <c r="M153" s="87" t="s">
        <v>64</v>
      </c>
      <c r="N153" s="88" t="s">
        <v>78</v>
      </c>
    </row>
    <row r="154" spans="1:14">
      <c r="A154" s="81">
        <v>45404</v>
      </c>
      <c r="B154" s="82" t="s">
        <v>222</v>
      </c>
      <c r="C154" s="82" t="s">
        <v>26</v>
      </c>
      <c r="D154" s="82" t="s">
        <v>37</v>
      </c>
      <c r="E154" s="82" t="s">
        <v>48</v>
      </c>
      <c r="F154" s="83">
        <v>4</v>
      </c>
      <c r="G154" s="84">
        <v>65.760000000000005</v>
      </c>
      <c r="H154" s="85">
        <v>0.05</v>
      </c>
      <c r="I154" s="86">
        <f t="shared" si="4"/>
        <v>249.88800000000001</v>
      </c>
      <c r="J154" s="86">
        <v>110.48</v>
      </c>
      <c r="K154" s="86">
        <f t="shared" si="5"/>
        <v>139.40800000000002</v>
      </c>
      <c r="L154" s="87" t="s">
        <v>59</v>
      </c>
      <c r="M154" s="87" t="s">
        <v>64</v>
      </c>
      <c r="N154" s="88" t="s">
        <v>69</v>
      </c>
    </row>
    <row r="155" spans="1:14">
      <c r="A155" s="81">
        <v>45405</v>
      </c>
      <c r="B155" s="82" t="s">
        <v>223</v>
      </c>
      <c r="C155" s="82" t="s">
        <v>40</v>
      </c>
      <c r="D155" s="82" t="s">
        <v>27</v>
      </c>
      <c r="E155" s="82" t="s">
        <v>35</v>
      </c>
      <c r="F155" s="83">
        <v>8</v>
      </c>
      <c r="G155" s="84">
        <v>373.41</v>
      </c>
      <c r="H155" s="85">
        <v>0.1</v>
      </c>
      <c r="I155" s="86">
        <f t="shared" si="4"/>
        <v>2688.5520000000001</v>
      </c>
      <c r="J155" s="86">
        <v>1792.37</v>
      </c>
      <c r="K155" s="86">
        <f t="shared" si="5"/>
        <v>896.18200000000024</v>
      </c>
      <c r="L155" s="87" t="s">
        <v>63</v>
      </c>
      <c r="M155" s="87" t="s">
        <v>68</v>
      </c>
      <c r="N155" s="88" t="s">
        <v>71</v>
      </c>
    </row>
    <row r="156" spans="1:14">
      <c r="A156" s="81">
        <v>45405</v>
      </c>
      <c r="B156" s="82" t="s">
        <v>224</v>
      </c>
      <c r="C156" s="82" t="s">
        <v>36</v>
      </c>
      <c r="D156" s="82" t="s">
        <v>37</v>
      </c>
      <c r="E156" s="82" t="s">
        <v>47</v>
      </c>
      <c r="F156" s="83">
        <v>6</v>
      </c>
      <c r="G156" s="84">
        <v>116.54</v>
      </c>
      <c r="H156" s="85">
        <v>0.08</v>
      </c>
      <c r="I156" s="86">
        <f t="shared" si="4"/>
        <v>643.30079999999998</v>
      </c>
      <c r="J156" s="86">
        <v>321.64999999999998</v>
      </c>
      <c r="K156" s="86">
        <f t="shared" si="5"/>
        <v>321.6508</v>
      </c>
      <c r="L156" s="87" t="s">
        <v>59</v>
      </c>
      <c r="M156" s="87" t="s">
        <v>64</v>
      </c>
      <c r="N156" s="88" t="s">
        <v>65</v>
      </c>
    </row>
    <row r="157" spans="1:14">
      <c r="A157" s="81">
        <v>45407</v>
      </c>
      <c r="B157" s="82" t="s">
        <v>225</v>
      </c>
      <c r="C157" s="82" t="s">
        <v>26</v>
      </c>
      <c r="D157" s="82" t="s">
        <v>32</v>
      </c>
      <c r="E157" s="82" t="s">
        <v>46</v>
      </c>
      <c r="F157" s="83">
        <v>4</v>
      </c>
      <c r="G157" s="84">
        <v>94.95</v>
      </c>
      <c r="H157" s="85">
        <v>0</v>
      </c>
      <c r="I157" s="86">
        <f t="shared" si="4"/>
        <v>379.8</v>
      </c>
      <c r="J157" s="86">
        <v>182.3</v>
      </c>
      <c r="K157" s="86">
        <f t="shared" si="5"/>
        <v>197.5</v>
      </c>
      <c r="L157" s="87" t="s">
        <v>59</v>
      </c>
      <c r="M157" s="87" t="s">
        <v>64</v>
      </c>
      <c r="N157" s="88" t="s">
        <v>61</v>
      </c>
    </row>
    <row r="158" spans="1:14">
      <c r="A158" s="81">
        <v>45407</v>
      </c>
      <c r="B158" s="82" t="s">
        <v>226</v>
      </c>
      <c r="C158" s="82" t="s">
        <v>36</v>
      </c>
      <c r="D158" s="82" t="s">
        <v>27</v>
      </c>
      <c r="E158" s="82" t="s">
        <v>25</v>
      </c>
      <c r="F158" s="83">
        <v>8</v>
      </c>
      <c r="G158" s="84">
        <v>1144.6500000000001</v>
      </c>
      <c r="H158" s="85">
        <v>0.03</v>
      </c>
      <c r="I158" s="86">
        <f t="shared" si="4"/>
        <v>8882.4840000000004</v>
      </c>
      <c r="J158" s="86">
        <v>6226.9</v>
      </c>
      <c r="K158" s="86">
        <f t="shared" si="5"/>
        <v>2655.5840000000007</v>
      </c>
      <c r="L158" s="87" t="s">
        <v>63</v>
      </c>
      <c r="M158" s="87" t="s">
        <v>64</v>
      </c>
      <c r="N158" s="88" t="s">
        <v>78</v>
      </c>
    </row>
    <row r="159" spans="1:14">
      <c r="A159" s="81">
        <v>45408</v>
      </c>
      <c r="B159" s="82" t="s">
        <v>227</v>
      </c>
      <c r="C159" s="82" t="s">
        <v>26</v>
      </c>
      <c r="D159" s="82" t="s">
        <v>37</v>
      </c>
      <c r="E159" s="82" t="s">
        <v>48</v>
      </c>
      <c r="F159" s="83">
        <v>7</v>
      </c>
      <c r="G159" s="84">
        <v>70.61</v>
      </c>
      <c r="H159" s="85">
        <v>0</v>
      </c>
      <c r="I159" s="86">
        <f t="shared" si="4"/>
        <v>494.27</v>
      </c>
      <c r="J159" s="86">
        <v>207.59</v>
      </c>
      <c r="K159" s="86">
        <f t="shared" si="5"/>
        <v>286.67999999999995</v>
      </c>
      <c r="L159" s="87" t="s">
        <v>63</v>
      </c>
      <c r="M159" s="87" t="s">
        <v>64</v>
      </c>
      <c r="N159" s="88" t="s">
        <v>65</v>
      </c>
    </row>
    <row r="160" spans="1:14">
      <c r="A160" s="81">
        <v>45409</v>
      </c>
      <c r="B160" s="82" t="s">
        <v>228</v>
      </c>
      <c r="C160" s="82" t="s">
        <v>36</v>
      </c>
      <c r="D160" s="82" t="s">
        <v>37</v>
      </c>
      <c r="E160" s="82" t="s">
        <v>47</v>
      </c>
      <c r="F160" s="83">
        <v>6</v>
      </c>
      <c r="G160" s="84">
        <v>117.56</v>
      </c>
      <c r="H160" s="85">
        <v>0.1</v>
      </c>
      <c r="I160" s="86">
        <f t="shared" si="4"/>
        <v>634.82400000000007</v>
      </c>
      <c r="J160" s="86">
        <v>324.47000000000003</v>
      </c>
      <c r="K160" s="86">
        <f t="shared" si="5"/>
        <v>310.35400000000004</v>
      </c>
      <c r="L160" s="87" t="s">
        <v>59</v>
      </c>
      <c r="M160" s="87" t="s">
        <v>64</v>
      </c>
      <c r="N160" s="88" t="s">
        <v>78</v>
      </c>
    </row>
    <row r="161" spans="1:14">
      <c r="A161" s="81">
        <v>45409</v>
      </c>
      <c r="B161" s="82" t="s">
        <v>229</v>
      </c>
      <c r="C161" s="82" t="s">
        <v>36</v>
      </c>
      <c r="D161" s="82" t="s">
        <v>37</v>
      </c>
      <c r="E161" s="82" t="s">
        <v>47</v>
      </c>
      <c r="F161" s="83">
        <v>5</v>
      </c>
      <c r="G161" s="84">
        <v>115.22</v>
      </c>
      <c r="H161" s="85">
        <v>0.05</v>
      </c>
      <c r="I161" s="86">
        <f t="shared" si="4"/>
        <v>547.29499999999996</v>
      </c>
      <c r="J161" s="86">
        <v>265.01</v>
      </c>
      <c r="K161" s="86">
        <f t="shared" si="5"/>
        <v>282.28499999999997</v>
      </c>
      <c r="L161" s="87" t="s">
        <v>63</v>
      </c>
      <c r="M161" s="87" t="s">
        <v>60</v>
      </c>
      <c r="N161" s="88" t="s">
        <v>65</v>
      </c>
    </row>
    <row r="162" spans="1:14">
      <c r="A162" s="81">
        <v>45409</v>
      </c>
      <c r="B162" s="82" t="s">
        <v>230</v>
      </c>
      <c r="C162" s="82" t="s">
        <v>26</v>
      </c>
      <c r="D162" s="82" t="s">
        <v>37</v>
      </c>
      <c r="E162" s="82" t="s">
        <v>48</v>
      </c>
      <c r="F162" s="83">
        <v>1</v>
      </c>
      <c r="G162" s="84">
        <v>71.069999999999993</v>
      </c>
      <c r="H162" s="85">
        <v>0</v>
      </c>
      <c r="I162" s="86">
        <f t="shared" si="4"/>
        <v>71.069999999999993</v>
      </c>
      <c r="J162" s="86">
        <v>29.85</v>
      </c>
      <c r="K162" s="86">
        <f t="shared" si="5"/>
        <v>41.219999999999992</v>
      </c>
      <c r="L162" s="87" t="s">
        <v>59</v>
      </c>
      <c r="M162" s="87" t="s">
        <v>60</v>
      </c>
      <c r="N162" s="88" t="s">
        <v>61</v>
      </c>
    </row>
    <row r="163" spans="1:14">
      <c r="A163" s="81">
        <v>45410</v>
      </c>
      <c r="B163" s="82" t="s">
        <v>231</v>
      </c>
      <c r="C163" s="82" t="s">
        <v>31</v>
      </c>
      <c r="D163" s="82" t="s">
        <v>32</v>
      </c>
      <c r="E163" s="82" t="s">
        <v>46</v>
      </c>
      <c r="F163" s="83">
        <v>7</v>
      </c>
      <c r="G163" s="84">
        <v>97.12</v>
      </c>
      <c r="H163" s="85">
        <v>0.05</v>
      </c>
      <c r="I163" s="86">
        <f t="shared" si="4"/>
        <v>645.84799999999996</v>
      </c>
      <c r="J163" s="86">
        <v>326.32</v>
      </c>
      <c r="K163" s="86">
        <f t="shared" si="5"/>
        <v>319.52799999999996</v>
      </c>
      <c r="L163" s="87" t="s">
        <v>59</v>
      </c>
      <c r="M163" s="87" t="s">
        <v>68</v>
      </c>
      <c r="N163" s="88" t="s">
        <v>61</v>
      </c>
    </row>
    <row r="164" spans="1:14">
      <c r="A164" s="81">
        <v>45410</v>
      </c>
      <c r="B164" s="82" t="s">
        <v>232</v>
      </c>
      <c r="C164" s="82" t="s">
        <v>40</v>
      </c>
      <c r="D164" s="82" t="s">
        <v>32</v>
      </c>
      <c r="E164" s="82" t="s">
        <v>42</v>
      </c>
      <c r="F164" s="83">
        <v>7</v>
      </c>
      <c r="G164" s="84">
        <v>769.61</v>
      </c>
      <c r="H164" s="85">
        <v>0</v>
      </c>
      <c r="I164" s="86">
        <f t="shared" si="4"/>
        <v>5387.27</v>
      </c>
      <c r="J164" s="86">
        <v>3286.23</v>
      </c>
      <c r="K164" s="86">
        <f t="shared" si="5"/>
        <v>2101.0400000000004</v>
      </c>
      <c r="L164" s="87" t="s">
        <v>63</v>
      </c>
      <c r="M164" s="87" t="s">
        <v>60</v>
      </c>
      <c r="N164" s="88" t="s">
        <v>71</v>
      </c>
    </row>
    <row r="165" spans="1:14">
      <c r="A165" s="81">
        <v>45410</v>
      </c>
      <c r="B165" s="82" t="s">
        <v>233</v>
      </c>
      <c r="C165" s="82" t="s">
        <v>36</v>
      </c>
      <c r="D165" s="82" t="s">
        <v>27</v>
      </c>
      <c r="E165" s="82" t="s">
        <v>30</v>
      </c>
      <c r="F165" s="83">
        <v>6</v>
      </c>
      <c r="G165" s="84">
        <v>623.05999999999995</v>
      </c>
      <c r="H165" s="85">
        <v>0.1</v>
      </c>
      <c r="I165" s="86">
        <f t="shared" si="4"/>
        <v>3364.5239999999999</v>
      </c>
      <c r="J165" s="86">
        <v>2392.5500000000002</v>
      </c>
      <c r="K165" s="86">
        <f t="shared" si="5"/>
        <v>971.97399999999971</v>
      </c>
      <c r="L165" s="87" t="s">
        <v>63</v>
      </c>
      <c r="M165" s="87" t="s">
        <v>64</v>
      </c>
      <c r="N165" s="88" t="s">
        <v>61</v>
      </c>
    </row>
    <row r="166" spans="1:14">
      <c r="A166" s="81">
        <v>45410</v>
      </c>
      <c r="B166" s="82" t="s">
        <v>234</v>
      </c>
      <c r="C166" s="82" t="s">
        <v>36</v>
      </c>
      <c r="D166" s="82" t="s">
        <v>32</v>
      </c>
      <c r="E166" s="82" t="s">
        <v>42</v>
      </c>
      <c r="F166" s="83">
        <v>3</v>
      </c>
      <c r="G166" s="84">
        <v>752.19</v>
      </c>
      <c r="H166" s="85">
        <v>0.08</v>
      </c>
      <c r="I166" s="86">
        <f t="shared" si="4"/>
        <v>2076.0444000000002</v>
      </c>
      <c r="J166" s="86">
        <v>1376.51</v>
      </c>
      <c r="K166" s="86">
        <f t="shared" si="5"/>
        <v>699.53440000000023</v>
      </c>
      <c r="L166" s="87" t="s">
        <v>63</v>
      </c>
      <c r="M166" s="87" t="s">
        <v>60</v>
      </c>
      <c r="N166" s="88" t="s">
        <v>61</v>
      </c>
    </row>
    <row r="167" spans="1:14">
      <c r="A167" s="81">
        <v>45411</v>
      </c>
      <c r="B167" s="82" t="s">
        <v>235</v>
      </c>
      <c r="C167" s="82" t="s">
        <v>26</v>
      </c>
      <c r="D167" s="82" t="s">
        <v>27</v>
      </c>
      <c r="E167" s="82" t="s">
        <v>25</v>
      </c>
      <c r="F167" s="83">
        <v>4</v>
      </c>
      <c r="G167" s="84">
        <v>1147.23</v>
      </c>
      <c r="H167" s="85">
        <v>0</v>
      </c>
      <c r="I167" s="86">
        <f t="shared" si="4"/>
        <v>4588.92</v>
      </c>
      <c r="J167" s="86">
        <v>3120.47</v>
      </c>
      <c r="K167" s="86">
        <f t="shared" si="5"/>
        <v>1468.4500000000003</v>
      </c>
      <c r="L167" s="87" t="s">
        <v>67</v>
      </c>
      <c r="M167" s="87" t="s">
        <v>60</v>
      </c>
      <c r="N167" s="88" t="s">
        <v>61</v>
      </c>
    </row>
    <row r="168" spans="1:14">
      <c r="A168" s="81">
        <v>45411</v>
      </c>
      <c r="B168" s="82" t="s">
        <v>236</v>
      </c>
      <c r="C168" s="82" t="s">
        <v>36</v>
      </c>
      <c r="D168" s="82" t="s">
        <v>27</v>
      </c>
      <c r="E168" s="82" t="s">
        <v>35</v>
      </c>
      <c r="F168" s="83">
        <v>3</v>
      </c>
      <c r="G168" s="84">
        <v>369.2</v>
      </c>
      <c r="H168" s="85">
        <v>0.08</v>
      </c>
      <c r="I168" s="86">
        <f t="shared" si="4"/>
        <v>1018.992</v>
      </c>
      <c r="J168" s="86">
        <v>664.56</v>
      </c>
      <c r="K168" s="86">
        <f t="shared" si="5"/>
        <v>354.43200000000002</v>
      </c>
      <c r="L168" s="87" t="s">
        <v>59</v>
      </c>
      <c r="M168" s="87" t="s">
        <v>64</v>
      </c>
      <c r="N168" s="88" t="s">
        <v>74</v>
      </c>
    </row>
    <row r="169" spans="1:14">
      <c r="A169" s="81">
        <v>45412</v>
      </c>
      <c r="B169" s="82" t="s">
        <v>237</v>
      </c>
      <c r="C169" s="82" t="s">
        <v>40</v>
      </c>
      <c r="D169" s="82" t="s">
        <v>37</v>
      </c>
      <c r="E169" s="82" t="s">
        <v>47</v>
      </c>
      <c r="F169" s="83">
        <v>3</v>
      </c>
      <c r="G169" s="84">
        <v>120.33</v>
      </c>
      <c r="H169" s="85">
        <v>0.08</v>
      </c>
      <c r="I169" s="86">
        <f t="shared" si="4"/>
        <v>332.11080000000004</v>
      </c>
      <c r="J169" s="86">
        <v>166.06</v>
      </c>
      <c r="K169" s="86">
        <f t="shared" si="5"/>
        <v>166.05080000000004</v>
      </c>
      <c r="L169" s="87" t="s">
        <v>63</v>
      </c>
      <c r="M169" s="87" t="s">
        <v>60</v>
      </c>
      <c r="N169" s="88" t="s">
        <v>71</v>
      </c>
    </row>
    <row r="170" spans="1:14">
      <c r="A170" s="81">
        <v>45412</v>
      </c>
      <c r="B170" s="82" t="s">
        <v>238</v>
      </c>
      <c r="C170" s="82" t="s">
        <v>36</v>
      </c>
      <c r="D170" s="82" t="s">
        <v>32</v>
      </c>
      <c r="E170" s="82" t="s">
        <v>46</v>
      </c>
      <c r="F170" s="83">
        <v>6</v>
      </c>
      <c r="G170" s="84">
        <v>100.7</v>
      </c>
      <c r="H170" s="85">
        <v>0.03</v>
      </c>
      <c r="I170" s="86">
        <f t="shared" si="4"/>
        <v>586.07400000000007</v>
      </c>
      <c r="J170" s="86">
        <v>290.02</v>
      </c>
      <c r="K170" s="86">
        <f t="shared" si="5"/>
        <v>296.05400000000009</v>
      </c>
      <c r="L170" s="87" t="s">
        <v>67</v>
      </c>
      <c r="M170" s="87" t="s">
        <v>68</v>
      </c>
      <c r="N170" s="88" t="s">
        <v>61</v>
      </c>
    </row>
    <row r="171" spans="1:14">
      <c r="A171" s="81">
        <v>45412</v>
      </c>
      <c r="B171" s="82" t="s">
        <v>239</v>
      </c>
      <c r="C171" s="82" t="s">
        <v>26</v>
      </c>
      <c r="D171" s="82" t="s">
        <v>37</v>
      </c>
      <c r="E171" s="82" t="s">
        <v>47</v>
      </c>
      <c r="F171" s="83">
        <v>8</v>
      </c>
      <c r="G171" s="84">
        <v>124.25</v>
      </c>
      <c r="H171" s="85">
        <v>0.03</v>
      </c>
      <c r="I171" s="86">
        <f t="shared" si="4"/>
        <v>964.18</v>
      </c>
      <c r="J171" s="86">
        <v>457.24</v>
      </c>
      <c r="K171" s="86">
        <f t="shared" si="5"/>
        <v>506.93999999999994</v>
      </c>
      <c r="L171" s="87" t="s">
        <v>67</v>
      </c>
      <c r="M171" s="87" t="s">
        <v>64</v>
      </c>
      <c r="N171" s="88" t="s">
        <v>61</v>
      </c>
    </row>
    <row r="172" spans="1:14">
      <c r="A172" s="81">
        <v>45413</v>
      </c>
      <c r="B172" s="82" t="s">
        <v>240</v>
      </c>
      <c r="C172" s="82" t="s">
        <v>26</v>
      </c>
      <c r="D172" s="82" t="s">
        <v>32</v>
      </c>
      <c r="E172" s="82" t="s">
        <v>42</v>
      </c>
      <c r="F172" s="83">
        <v>1</v>
      </c>
      <c r="G172" s="84">
        <v>760.37</v>
      </c>
      <c r="H172" s="85">
        <v>0.08</v>
      </c>
      <c r="I172" s="86">
        <f t="shared" si="4"/>
        <v>699.54040000000009</v>
      </c>
      <c r="J172" s="86">
        <v>463.83</v>
      </c>
      <c r="K172" s="86">
        <f t="shared" si="5"/>
        <v>235.71040000000011</v>
      </c>
      <c r="L172" s="87" t="s">
        <v>63</v>
      </c>
      <c r="M172" s="87" t="s">
        <v>64</v>
      </c>
      <c r="N172" s="88" t="s">
        <v>61</v>
      </c>
    </row>
    <row r="173" spans="1:14">
      <c r="A173" s="81">
        <v>45413</v>
      </c>
      <c r="B173" s="82" t="s">
        <v>241</v>
      </c>
      <c r="C173" s="82" t="s">
        <v>31</v>
      </c>
      <c r="D173" s="82" t="s">
        <v>37</v>
      </c>
      <c r="E173" s="82" t="s">
        <v>47</v>
      </c>
      <c r="F173" s="83">
        <v>11</v>
      </c>
      <c r="G173" s="84">
        <v>126.04</v>
      </c>
      <c r="H173" s="85">
        <v>0.12</v>
      </c>
      <c r="I173" s="86">
        <f t="shared" si="4"/>
        <v>1220.0672</v>
      </c>
      <c r="J173" s="86">
        <v>637.76</v>
      </c>
      <c r="K173" s="86">
        <f t="shared" si="5"/>
        <v>582.30719999999997</v>
      </c>
      <c r="L173" s="87" t="s">
        <v>59</v>
      </c>
      <c r="M173" s="87" t="s">
        <v>68</v>
      </c>
      <c r="N173" s="88" t="s">
        <v>71</v>
      </c>
    </row>
    <row r="174" spans="1:14">
      <c r="A174" s="81">
        <v>45414</v>
      </c>
      <c r="B174" s="82" t="s">
        <v>242</v>
      </c>
      <c r="C174" s="82" t="s">
        <v>36</v>
      </c>
      <c r="D174" s="82" t="s">
        <v>32</v>
      </c>
      <c r="E174" s="82" t="s">
        <v>46</v>
      </c>
      <c r="F174" s="83">
        <v>2</v>
      </c>
      <c r="G174" s="84">
        <v>97.79</v>
      </c>
      <c r="H174" s="85">
        <v>0.1</v>
      </c>
      <c r="I174" s="86">
        <f t="shared" si="4"/>
        <v>176.02200000000002</v>
      </c>
      <c r="J174" s="86">
        <v>93.88</v>
      </c>
      <c r="K174" s="86">
        <f t="shared" si="5"/>
        <v>82.142000000000024</v>
      </c>
      <c r="L174" s="87" t="s">
        <v>59</v>
      </c>
      <c r="M174" s="87" t="s">
        <v>60</v>
      </c>
      <c r="N174" s="88" t="s">
        <v>61</v>
      </c>
    </row>
    <row r="175" spans="1:14">
      <c r="A175" s="81">
        <v>45414</v>
      </c>
      <c r="B175" s="82" t="s">
        <v>243</v>
      </c>
      <c r="C175" s="82" t="s">
        <v>40</v>
      </c>
      <c r="D175" s="82" t="s">
        <v>27</v>
      </c>
      <c r="E175" s="82" t="s">
        <v>30</v>
      </c>
      <c r="F175" s="83">
        <v>4</v>
      </c>
      <c r="G175" s="84">
        <v>640.16999999999996</v>
      </c>
      <c r="H175" s="85">
        <v>0.1</v>
      </c>
      <c r="I175" s="86">
        <f t="shared" si="4"/>
        <v>2304.6120000000001</v>
      </c>
      <c r="J175" s="86">
        <v>1638.84</v>
      </c>
      <c r="K175" s="86">
        <f t="shared" si="5"/>
        <v>665.77200000000016</v>
      </c>
      <c r="L175" s="87" t="s">
        <v>67</v>
      </c>
      <c r="M175" s="87" t="s">
        <v>60</v>
      </c>
      <c r="N175" s="88" t="s">
        <v>69</v>
      </c>
    </row>
    <row r="176" spans="1:14">
      <c r="A176" s="81">
        <v>45415</v>
      </c>
      <c r="B176" s="82" t="s">
        <v>244</v>
      </c>
      <c r="C176" s="82" t="s">
        <v>31</v>
      </c>
      <c r="D176" s="82" t="s">
        <v>32</v>
      </c>
      <c r="E176" s="82" t="s">
        <v>42</v>
      </c>
      <c r="F176" s="83">
        <v>4</v>
      </c>
      <c r="G176" s="84">
        <v>740.3</v>
      </c>
      <c r="H176" s="85">
        <v>0.05</v>
      </c>
      <c r="I176" s="86">
        <f t="shared" si="4"/>
        <v>2813.14</v>
      </c>
      <c r="J176" s="86">
        <v>1806.33</v>
      </c>
      <c r="K176" s="86">
        <f t="shared" si="5"/>
        <v>1006.81</v>
      </c>
      <c r="L176" s="87" t="s">
        <v>59</v>
      </c>
      <c r="M176" s="87" t="s">
        <v>60</v>
      </c>
      <c r="N176" s="88" t="s">
        <v>65</v>
      </c>
    </row>
    <row r="177" spans="1:14">
      <c r="A177" s="81">
        <v>45419</v>
      </c>
      <c r="B177" s="82" t="s">
        <v>245</v>
      </c>
      <c r="C177" s="82" t="s">
        <v>26</v>
      </c>
      <c r="D177" s="82" t="s">
        <v>37</v>
      </c>
      <c r="E177" s="82" t="s">
        <v>48</v>
      </c>
      <c r="F177" s="83">
        <v>4</v>
      </c>
      <c r="G177" s="84">
        <v>68.19</v>
      </c>
      <c r="H177" s="85">
        <v>0.1</v>
      </c>
      <c r="I177" s="86">
        <f t="shared" si="4"/>
        <v>245.48400000000001</v>
      </c>
      <c r="J177" s="86">
        <v>114.56</v>
      </c>
      <c r="K177" s="86">
        <f t="shared" si="5"/>
        <v>130.92400000000001</v>
      </c>
      <c r="L177" s="87" t="s">
        <v>63</v>
      </c>
      <c r="M177" s="87" t="s">
        <v>64</v>
      </c>
      <c r="N177" s="88" t="s">
        <v>61</v>
      </c>
    </row>
    <row r="178" spans="1:14">
      <c r="A178" s="81">
        <v>45419</v>
      </c>
      <c r="B178" s="82" t="s">
        <v>246</v>
      </c>
      <c r="C178" s="82" t="s">
        <v>31</v>
      </c>
      <c r="D178" s="82" t="s">
        <v>32</v>
      </c>
      <c r="E178" s="82" t="s">
        <v>46</v>
      </c>
      <c r="F178" s="83">
        <v>6</v>
      </c>
      <c r="G178" s="84">
        <v>95.98</v>
      </c>
      <c r="H178" s="85">
        <v>0.12</v>
      </c>
      <c r="I178" s="86">
        <f t="shared" si="4"/>
        <v>506.77440000000001</v>
      </c>
      <c r="J178" s="86">
        <v>276.42</v>
      </c>
      <c r="K178" s="86">
        <f t="shared" si="5"/>
        <v>230.3544</v>
      </c>
      <c r="L178" s="87" t="s">
        <v>59</v>
      </c>
      <c r="M178" s="87" t="s">
        <v>60</v>
      </c>
      <c r="N178" s="88" t="s">
        <v>74</v>
      </c>
    </row>
    <row r="179" spans="1:14">
      <c r="A179" s="81">
        <v>45422</v>
      </c>
      <c r="B179" s="82" t="s">
        <v>247</v>
      </c>
      <c r="C179" s="82" t="s">
        <v>40</v>
      </c>
      <c r="D179" s="82" t="s">
        <v>27</v>
      </c>
      <c r="E179" s="82" t="s">
        <v>35</v>
      </c>
      <c r="F179" s="83">
        <v>6</v>
      </c>
      <c r="G179" s="84">
        <v>366.55</v>
      </c>
      <c r="H179" s="85">
        <v>0.12</v>
      </c>
      <c r="I179" s="86">
        <f t="shared" si="4"/>
        <v>1935.3840000000002</v>
      </c>
      <c r="J179" s="86">
        <v>1319.58</v>
      </c>
      <c r="K179" s="86">
        <f t="shared" si="5"/>
        <v>615.80400000000031</v>
      </c>
      <c r="L179" s="87" t="s">
        <v>63</v>
      </c>
      <c r="M179" s="87" t="s">
        <v>64</v>
      </c>
      <c r="N179" s="88" t="s">
        <v>69</v>
      </c>
    </row>
    <row r="180" spans="1:14">
      <c r="A180" s="81">
        <v>45423</v>
      </c>
      <c r="B180" s="82" t="s">
        <v>248</v>
      </c>
      <c r="C180" s="82" t="s">
        <v>40</v>
      </c>
      <c r="D180" s="82" t="s">
        <v>32</v>
      </c>
      <c r="E180" s="82" t="s">
        <v>46</v>
      </c>
      <c r="F180" s="83">
        <v>4</v>
      </c>
      <c r="G180" s="84">
        <v>100.43</v>
      </c>
      <c r="H180" s="85">
        <v>0.03</v>
      </c>
      <c r="I180" s="86">
        <f t="shared" si="4"/>
        <v>389.66840000000002</v>
      </c>
      <c r="J180" s="86">
        <v>192.83</v>
      </c>
      <c r="K180" s="86">
        <f t="shared" si="5"/>
        <v>196.83840000000001</v>
      </c>
      <c r="L180" s="87" t="s">
        <v>59</v>
      </c>
      <c r="M180" s="87" t="s">
        <v>60</v>
      </c>
      <c r="N180" s="88" t="s">
        <v>74</v>
      </c>
    </row>
    <row r="181" spans="1:14">
      <c r="A181" s="81">
        <v>45424</v>
      </c>
      <c r="B181" s="82" t="s">
        <v>249</v>
      </c>
      <c r="C181" s="82" t="s">
        <v>40</v>
      </c>
      <c r="D181" s="82" t="s">
        <v>27</v>
      </c>
      <c r="E181" s="82" t="s">
        <v>35</v>
      </c>
      <c r="F181" s="83">
        <v>2</v>
      </c>
      <c r="G181" s="84">
        <v>369.95</v>
      </c>
      <c r="H181" s="85">
        <v>0.05</v>
      </c>
      <c r="I181" s="86">
        <f t="shared" si="4"/>
        <v>702.90499999999997</v>
      </c>
      <c r="J181" s="86">
        <v>443.94</v>
      </c>
      <c r="K181" s="86">
        <f t="shared" si="5"/>
        <v>258.96499999999997</v>
      </c>
      <c r="L181" s="87" t="s">
        <v>67</v>
      </c>
      <c r="M181" s="87" t="s">
        <v>68</v>
      </c>
      <c r="N181" s="88" t="s">
        <v>78</v>
      </c>
    </row>
    <row r="182" spans="1:14">
      <c r="A182" s="81">
        <v>45424</v>
      </c>
      <c r="B182" s="82" t="s">
        <v>250</v>
      </c>
      <c r="C182" s="82" t="s">
        <v>26</v>
      </c>
      <c r="D182" s="82" t="s">
        <v>27</v>
      </c>
      <c r="E182" s="82" t="s">
        <v>35</v>
      </c>
      <c r="F182" s="83">
        <v>9</v>
      </c>
      <c r="G182" s="84">
        <v>368.32</v>
      </c>
      <c r="H182" s="85">
        <v>0.12</v>
      </c>
      <c r="I182" s="86">
        <f t="shared" si="4"/>
        <v>2917.0944</v>
      </c>
      <c r="J182" s="86">
        <v>1988.93</v>
      </c>
      <c r="K182" s="86">
        <f t="shared" si="5"/>
        <v>928.16439999999989</v>
      </c>
      <c r="L182" s="87" t="s">
        <v>63</v>
      </c>
      <c r="M182" s="87" t="s">
        <v>68</v>
      </c>
      <c r="N182" s="88" t="s">
        <v>78</v>
      </c>
    </row>
    <row r="183" spans="1:14">
      <c r="A183" s="81">
        <v>45425</v>
      </c>
      <c r="B183" s="82" t="s">
        <v>251</v>
      </c>
      <c r="C183" s="82" t="s">
        <v>26</v>
      </c>
      <c r="D183" s="82" t="s">
        <v>37</v>
      </c>
      <c r="E183" s="82" t="s">
        <v>47</v>
      </c>
      <c r="F183" s="83">
        <v>1</v>
      </c>
      <c r="G183" s="84">
        <v>119.22</v>
      </c>
      <c r="H183" s="85">
        <v>0.08</v>
      </c>
      <c r="I183" s="86">
        <f t="shared" si="4"/>
        <v>109.6824</v>
      </c>
      <c r="J183" s="86">
        <v>54.84</v>
      </c>
      <c r="K183" s="86">
        <f t="shared" si="5"/>
        <v>54.842399999999998</v>
      </c>
      <c r="L183" s="87" t="s">
        <v>63</v>
      </c>
      <c r="M183" s="87" t="s">
        <v>64</v>
      </c>
      <c r="N183" s="88" t="s">
        <v>69</v>
      </c>
    </row>
    <row r="184" spans="1:14">
      <c r="A184" s="81">
        <v>45425</v>
      </c>
      <c r="B184" s="82" t="s">
        <v>252</v>
      </c>
      <c r="C184" s="82" t="s">
        <v>31</v>
      </c>
      <c r="D184" s="82" t="s">
        <v>37</v>
      </c>
      <c r="E184" s="82" t="s">
        <v>48</v>
      </c>
      <c r="F184" s="83">
        <v>8</v>
      </c>
      <c r="G184" s="84">
        <v>66.680000000000007</v>
      </c>
      <c r="H184" s="85">
        <v>0.03</v>
      </c>
      <c r="I184" s="86">
        <f t="shared" si="4"/>
        <v>517.43680000000006</v>
      </c>
      <c r="J184" s="86">
        <v>224.04</v>
      </c>
      <c r="K184" s="86">
        <f t="shared" si="5"/>
        <v>293.3968000000001</v>
      </c>
      <c r="L184" s="87" t="s">
        <v>59</v>
      </c>
      <c r="M184" s="87" t="s">
        <v>60</v>
      </c>
      <c r="N184" s="88" t="s">
        <v>65</v>
      </c>
    </row>
    <row r="185" spans="1:14">
      <c r="A185" s="81">
        <v>45426</v>
      </c>
      <c r="B185" s="82" t="s">
        <v>253</v>
      </c>
      <c r="C185" s="82" t="s">
        <v>26</v>
      </c>
      <c r="D185" s="82" t="s">
        <v>27</v>
      </c>
      <c r="E185" s="82" t="s">
        <v>35</v>
      </c>
      <c r="F185" s="83">
        <v>3</v>
      </c>
      <c r="G185" s="84">
        <v>347.35</v>
      </c>
      <c r="H185" s="85">
        <v>0</v>
      </c>
      <c r="I185" s="86">
        <f t="shared" si="4"/>
        <v>1042.0500000000002</v>
      </c>
      <c r="J185" s="86">
        <v>625.23</v>
      </c>
      <c r="K185" s="86">
        <f t="shared" si="5"/>
        <v>416.82000000000016</v>
      </c>
      <c r="L185" s="87" t="s">
        <v>59</v>
      </c>
      <c r="M185" s="87" t="s">
        <v>68</v>
      </c>
      <c r="N185" s="88" t="s">
        <v>61</v>
      </c>
    </row>
    <row r="186" spans="1:14">
      <c r="A186" s="81">
        <v>45427</v>
      </c>
      <c r="B186" s="82" t="s">
        <v>254</v>
      </c>
      <c r="C186" s="82" t="s">
        <v>31</v>
      </c>
      <c r="D186" s="82" t="s">
        <v>27</v>
      </c>
      <c r="E186" s="82" t="s">
        <v>25</v>
      </c>
      <c r="F186" s="83">
        <v>6</v>
      </c>
      <c r="G186" s="84">
        <v>1194.95</v>
      </c>
      <c r="H186" s="85">
        <v>0.08</v>
      </c>
      <c r="I186" s="86">
        <f t="shared" si="4"/>
        <v>6596.1240000000007</v>
      </c>
      <c r="J186" s="86">
        <v>4875.3999999999996</v>
      </c>
      <c r="K186" s="86">
        <f t="shared" si="5"/>
        <v>1720.7240000000011</v>
      </c>
      <c r="L186" s="87" t="s">
        <v>63</v>
      </c>
      <c r="M186" s="87" t="s">
        <v>64</v>
      </c>
      <c r="N186" s="88" t="s">
        <v>69</v>
      </c>
    </row>
    <row r="187" spans="1:14">
      <c r="A187" s="81">
        <v>45428</v>
      </c>
      <c r="B187" s="82" t="s">
        <v>255</v>
      </c>
      <c r="C187" s="82" t="s">
        <v>31</v>
      </c>
      <c r="D187" s="82" t="s">
        <v>32</v>
      </c>
      <c r="E187" s="82" t="s">
        <v>46</v>
      </c>
      <c r="F187" s="83">
        <v>8</v>
      </c>
      <c r="G187" s="84">
        <v>99.54</v>
      </c>
      <c r="H187" s="85">
        <v>0.08</v>
      </c>
      <c r="I187" s="86">
        <f t="shared" si="4"/>
        <v>732.61440000000005</v>
      </c>
      <c r="J187" s="86">
        <v>382.23</v>
      </c>
      <c r="K187" s="86">
        <f t="shared" si="5"/>
        <v>350.38440000000003</v>
      </c>
      <c r="L187" s="87" t="s">
        <v>67</v>
      </c>
      <c r="M187" s="87" t="s">
        <v>60</v>
      </c>
      <c r="N187" s="88" t="s">
        <v>65</v>
      </c>
    </row>
    <row r="188" spans="1:14">
      <c r="A188" s="81">
        <v>45428</v>
      </c>
      <c r="B188" s="82" t="s">
        <v>256</v>
      </c>
      <c r="C188" s="82" t="s">
        <v>26</v>
      </c>
      <c r="D188" s="82" t="s">
        <v>27</v>
      </c>
      <c r="E188" s="82" t="s">
        <v>30</v>
      </c>
      <c r="F188" s="83">
        <v>7</v>
      </c>
      <c r="G188" s="84">
        <v>620.20000000000005</v>
      </c>
      <c r="H188" s="85">
        <v>0.05</v>
      </c>
      <c r="I188" s="86">
        <f t="shared" si="4"/>
        <v>4124.33</v>
      </c>
      <c r="J188" s="86">
        <v>2778.5</v>
      </c>
      <c r="K188" s="86">
        <f t="shared" si="5"/>
        <v>1345.83</v>
      </c>
      <c r="L188" s="87" t="s">
        <v>67</v>
      </c>
      <c r="M188" s="87" t="s">
        <v>60</v>
      </c>
      <c r="N188" s="88" t="s">
        <v>65</v>
      </c>
    </row>
    <row r="189" spans="1:14">
      <c r="A189" s="81">
        <v>45428</v>
      </c>
      <c r="B189" s="82" t="s">
        <v>257</v>
      </c>
      <c r="C189" s="82" t="s">
        <v>31</v>
      </c>
      <c r="D189" s="82" t="s">
        <v>27</v>
      </c>
      <c r="E189" s="82" t="s">
        <v>25</v>
      </c>
      <c r="F189" s="83">
        <v>8</v>
      </c>
      <c r="G189" s="84">
        <v>1243.06</v>
      </c>
      <c r="H189" s="85">
        <v>0.05</v>
      </c>
      <c r="I189" s="86">
        <f t="shared" si="4"/>
        <v>9447.2559999999994</v>
      </c>
      <c r="J189" s="86">
        <v>6762.25</v>
      </c>
      <c r="K189" s="86">
        <f t="shared" si="5"/>
        <v>2685.0059999999994</v>
      </c>
      <c r="L189" s="87" t="s">
        <v>67</v>
      </c>
      <c r="M189" s="87" t="s">
        <v>64</v>
      </c>
      <c r="N189" s="88" t="s">
        <v>74</v>
      </c>
    </row>
    <row r="190" spans="1:14">
      <c r="A190" s="81">
        <v>45429</v>
      </c>
      <c r="B190" s="82" t="s">
        <v>258</v>
      </c>
      <c r="C190" s="82" t="s">
        <v>36</v>
      </c>
      <c r="D190" s="82" t="s">
        <v>32</v>
      </c>
      <c r="E190" s="82" t="s">
        <v>46</v>
      </c>
      <c r="F190" s="83">
        <v>9</v>
      </c>
      <c r="G190" s="84">
        <v>92.11</v>
      </c>
      <c r="H190" s="85">
        <v>0.05</v>
      </c>
      <c r="I190" s="86">
        <f t="shared" si="4"/>
        <v>787.54049999999995</v>
      </c>
      <c r="J190" s="86">
        <v>397.92</v>
      </c>
      <c r="K190" s="86">
        <f t="shared" si="5"/>
        <v>389.62049999999994</v>
      </c>
      <c r="L190" s="87" t="s">
        <v>67</v>
      </c>
      <c r="M190" s="87" t="s">
        <v>64</v>
      </c>
      <c r="N190" s="88" t="s">
        <v>74</v>
      </c>
    </row>
    <row r="191" spans="1:14">
      <c r="A191" s="81">
        <v>45429</v>
      </c>
      <c r="B191" s="82" t="s">
        <v>259</v>
      </c>
      <c r="C191" s="82" t="s">
        <v>40</v>
      </c>
      <c r="D191" s="82" t="s">
        <v>27</v>
      </c>
      <c r="E191" s="82" t="s">
        <v>25</v>
      </c>
      <c r="F191" s="83">
        <v>11</v>
      </c>
      <c r="G191" s="84">
        <v>1229.32</v>
      </c>
      <c r="H191" s="85">
        <v>0.08</v>
      </c>
      <c r="I191" s="86">
        <f t="shared" si="4"/>
        <v>12440.7184</v>
      </c>
      <c r="J191" s="86">
        <v>9195.31</v>
      </c>
      <c r="K191" s="86">
        <f t="shared" si="5"/>
        <v>3245.4084000000003</v>
      </c>
      <c r="L191" s="87" t="s">
        <v>59</v>
      </c>
      <c r="M191" s="87" t="s">
        <v>68</v>
      </c>
      <c r="N191" s="88" t="s">
        <v>74</v>
      </c>
    </row>
    <row r="192" spans="1:14">
      <c r="A192" s="81">
        <v>45429</v>
      </c>
      <c r="B192" s="82" t="s">
        <v>260</v>
      </c>
      <c r="C192" s="82" t="s">
        <v>40</v>
      </c>
      <c r="D192" s="82" t="s">
        <v>27</v>
      </c>
      <c r="E192" s="82" t="s">
        <v>35</v>
      </c>
      <c r="F192" s="83">
        <v>10</v>
      </c>
      <c r="G192" s="84">
        <v>363.19</v>
      </c>
      <c r="H192" s="85">
        <v>0</v>
      </c>
      <c r="I192" s="86">
        <f t="shared" si="4"/>
        <v>3631.9</v>
      </c>
      <c r="J192" s="86">
        <v>2179.14</v>
      </c>
      <c r="K192" s="86">
        <f t="shared" si="5"/>
        <v>1452.7600000000002</v>
      </c>
      <c r="L192" s="87" t="s">
        <v>63</v>
      </c>
      <c r="M192" s="87" t="s">
        <v>68</v>
      </c>
      <c r="N192" s="88" t="s">
        <v>61</v>
      </c>
    </row>
    <row r="193" spans="1:14">
      <c r="A193" s="81">
        <v>45430</v>
      </c>
      <c r="B193" s="82" t="s">
        <v>261</v>
      </c>
      <c r="C193" s="82" t="s">
        <v>36</v>
      </c>
      <c r="D193" s="82" t="s">
        <v>27</v>
      </c>
      <c r="E193" s="82" t="s">
        <v>35</v>
      </c>
      <c r="F193" s="83">
        <v>8</v>
      </c>
      <c r="G193" s="84">
        <v>359.52</v>
      </c>
      <c r="H193" s="85">
        <v>0</v>
      </c>
      <c r="I193" s="86">
        <f t="shared" si="4"/>
        <v>2876.16</v>
      </c>
      <c r="J193" s="86">
        <v>1725.7</v>
      </c>
      <c r="K193" s="86">
        <f t="shared" si="5"/>
        <v>1150.4599999999998</v>
      </c>
      <c r="L193" s="87" t="s">
        <v>67</v>
      </c>
      <c r="M193" s="87" t="s">
        <v>60</v>
      </c>
      <c r="N193" s="88" t="s">
        <v>69</v>
      </c>
    </row>
    <row r="194" spans="1:14">
      <c r="A194" s="81">
        <v>45431</v>
      </c>
      <c r="B194" s="82" t="s">
        <v>262</v>
      </c>
      <c r="C194" s="82" t="s">
        <v>40</v>
      </c>
      <c r="D194" s="82" t="s">
        <v>37</v>
      </c>
      <c r="E194" s="82" t="s">
        <v>47</v>
      </c>
      <c r="F194" s="83">
        <v>9</v>
      </c>
      <c r="G194" s="84">
        <v>119.17</v>
      </c>
      <c r="H194" s="85">
        <v>0</v>
      </c>
      <c r="I194" s="86">
        <f t="shared" ref="I194:I257" si="6">F194*G194*(1-H194)</f>
        <v>1072.53</v>
      </c>
      <c r="J194" s="86">
        <v>493.36</v>
      </c>
      <c r="K194" s="86">
        <f t="shared" ref="K194:K257" si="7">I194-J194</f>
        <v>579.16999999999996</v>
      </c>
      <c r="L194" s="87" t="s">
        <v>67</v>
      </c>
      <c r="M194" s="87" t="s">
        <v>60</v>
      </c>
      <c r="N194" s="88" t="s">
        <v>65</v>
      </c>
    </row>
    <row r="195" spans="1:14">
      <c r="A195" s="81">
        <v>45432</v>
      </c>
      <c r="B195" s="82" t="s">
        <v>263</v>
      </c>
      <c r="C195" s="82" t="s">
        <v>40</v>
      </c>
      <c r="D195" s="82" t="s">
        <v>32</v>
      </c>
      <c r="E195" s="82" t="s">
        <v>39</v>
      </c>
      <c r="F195" s="83">
        <v>8</v>
      </c>
      <c r="G195" s="84">
        <v>441.91</v>
      </c>
      <c r="H195" s="85">
        <v>0.03</v>
      </c>
      <c r="I195" s="86">
        <f t="shared" si="6"/>
        <v>3429.2216000000003</v>
      </c>
      <c r="J195" s="86">
        <v>2015.11</v>
      </c>
      <c r="K195" s="86">
        <f t="shared" si="7"/>
        <v>1414.1116000000004</v>
      </c>
      <c r="L195" s="87" t="s">
        <v>63</v>
      </c>
      <c r="M195" s="87" t="s">
        <v>60</v>
      </c>
      <c r="N195" s="88" t="s">
        <v>74</v>
      </c>
    </row>
    <row r="196" spans="1:14">
      <c r="A196" s="81">
        <v>45432</v>
      </c>
      <c r="B196" s="82" t="s">
        <v>264</v>
      </c>
      <c r="C196" s="82" t="s">
        <v>36</v>
      </c>
      <c r="D196" s="82" t="s">
        <v>32</v>
      </c>
      <c r="E196" s="82" t="s">
        <v>42</v>
      </c>
      <c r="F196" s="83">
        <v>2</v>
      </c>
      <c r="G196" s="84">
        <v>768.3</v>
      </c>
      <c r="H196" s="85">
        <v>0.08</v>
      </c>
      <c r="I196" s="86">
        <f t="shared" si="6"/>
        <v>1413.672</v>
      </c>
      <c r="J196" s="86">
        <v>937.33</v>
      </c>
      <c r="K196" s="86">
        <f t="shared" si="7"/>
        <v>476.34199999999998</v>
      </c>
      <c r="L196" s="87" t="s">
        <v>59</v>
      </c>
      <c r="M196" s="87" t="s">
        <v>64</v>
      </c>
      <c r="N196" s="88" t="s">
        <v>78</v>
      </c>
    </row>
    <row r="197" spans="1:14">
      <c r="A197" s="81">
        <v>45433</v>
      </c>
      <c r="B197" s="82" t="s">
        <v>265</v>
      </c>
      <c r="C197" s="82" t="s">
        <v>40</v>
      </c>
      <c r="D197" s="82" t="s">
        <v>32</v>
      </c>
      <c r="E197" s="82" t="s">
        <v>39</v>
      </c>
      <c r="F197" s="83">
        <v>8</v>
      </c>
      <c r="G197" s="84">
        <v>415.56</v>
      </c>
      <c r="H197" s="85">
        <v>0.08</v>
      </c>
      <c r="I197" s="86">
        <f t="shared" si="6"/>
        <v>3058.5216</v>
      </c>
      <c r="J197" s="86">
        <v>1894.95</v>
      </c>
      <c r="K197" s="86">
        <f t="shared" si="7"/>
        <v>1163.5716</v>
      </c>
      <c r="L197" s="87" t="s">
        <v>67</v>
      </c>
      <c r="M197" s="87" t="s">
        <v>60</v>
      </c>
      <c r="N197" s="88" t="s">
        <v>61</v>
      </c>
    </row>
    <row r="198" spans="1:14">
      <c r="A198" s="81">
        <v>45433</v>
      </c>
      <c r="B198" s="82" t="s">
        <v>266</v>
      </c>
      <c r="C198" s="82" t="s">
        <v>40</v>
      </c>
      <c r="D198" s="82" t="s">
        <v>27</v>
      </c>
      <c r="E198" s="82" t="s">
        <v>35</v>
      </c>
      <c r="F198" s="83">
        <v>4</v>
      </c>
      <c r="G198" s="84">
        <v>356.44</v>
      </c>
      <c r="H198" s="85">
        <v>0.08</v>
      </c>
      <c r="I198" s="86">
        <f t="shared" si="6"/>
        <v>1311.6992</v>
      </c>
      <c r="J198" s="86">
        <v>855.46</v>
      </c>
      <c r="K198" s="86">
        <f t="shared" si="7"/>
        <v>456.23919999999998</v>
      </c>
      <c r="L198" s="87" t="s">
        <v>67</v>
      </c>
      <c r="M198" s="87" t="s">
        <v>64</v>
      </c>
      <c r="N198" s="88" t="s">
        <v>71</v>
      </c>
    </row>
    <row r="199" spans="1:14">
      <c r="A199" s="81">
        <v>45433</v>
      </c>
      <c r="B199" s="82" t="s">
        <v>267</v>
      </c>
      <c r="C199" s="82" t="s">
        <v>26</v>
      </c>
      <c r="D199" s="82" t="s">
        <v>32</v>
      </c>
      <c r="E199" s="82" t="s">
        <v>42</v>
      </c>
      <c r="F199" s="83">
        <v>2</v>
      </c>
      <c r="G199" s="84">
        <v>800.44</v>
      </c>
      <c r="H199" s="85">
        <v>0.03</v>
      </c>
      <c r="I199" s="86">
        <f t="shared" si="6"/>
        <v>1552.8536000000001</v>
      </c>
      <c r="J199" s="86">
        <v>976.54</v>
      </c>
      <c r="K199" s="86">
        <f t="shared" si="7"/>
        <v>576.31360000000018</v>
      </c>
      <c r="L199" s="87" t="s">
        <v>67</v>
      </c>
      <c r="M199" s="87" t="s">
        <v>64</v>
      </c>
      <c r="N199" s="88" t="s">
        <v>65</v>
      </c>
    </row>
    <row r="200" spans="1:14">
      <c r="A200" s="81">
        <v>45434</v>
      </c>
      <c r="B200" s="82" t="s">
        <v>268</v>
      </c>
      <c r="C200" s="82" t="s">
        <v>40</v>
      </c>
      <c r="D200" s="82" t="s">
        <v>27</v>
      </c>
      <c r="E200" s="82" t="s">
        <v>30</v>
      </c>
      <c r="F200" s="83">
        <v>9</v>
      </c>
      <c r="G200" s="84">
        <v>651.12</v>
      </c>
      <c r="H200" s="85">
        <v>0.1</v>
      </c>
      <c r="I200" s="86">
        <f t="shared" si="6"/>
        <v>5274.0720000000001</v>
      </c>
      <c r="J200" s="86">
        <v>3750.45</v>
      </c>
      <c r="K200" s="86">
        <f t="shared" si="7"/>
        <v>1523.6220000000003</v>
      </c>
      <c r="L200" s="87" t="s">
        <v>63</v>
      </c>
      <c r="M200" s="87" t="s">
        <v>68</v>
      </c>
      <c r="N200" s="88" t="s">
        <v>61</v>
      </c>
    </row>
    <row r="201" spans="1:14">
      <c r="A201" s="81">
        <v>45435</v>
      </c>
      <c r="B201" s="82" t="s">
        <v>269</v>
      </c>
      <c r="C201" s="82" t="s">
        <v>31</v>
      </c>
      <c r="D201" s="82" t="s">
        <v>27</v>
      </c>
      <c r="E201" s="82" t="s">
        <v>25</v>
      </c>
      <c r="F201" s="83">
        <v>3</v>
      </c>
      <c r="G201" s="84">
        <v>1234.92</v>
      </c>
      <c r="H201" s="85">
        <v>0.05</v>
      </c>
      <c r="I201" s="86">
        <f t="shared" si="6"/>
        <v>3519.5219999999999</v>
      </c>
      <c r="J201" s="86">
        <v>2519.2399999999998</v>
      </c>
      <c r="K201" s="86">
        <f t="shared" si="7"/>
        <v>1000.2820000000002</v>
      </c>
      <c r="L201" s="87" t="s">
        <v>63</v>
      </c>
      <c r="M201" s="87" t="s">
        <v>60</v>
      </c>
      <c r="N201" s="88" t="s">
        <v>74</v>
      </c>
    </row>
    <row r="202" spans="1:14">
      <c r="A202" s="81">
        <v>45435</v>
      </c>
      <c r="B202" s="82" t="s">
        <v>270</v>
      </c>
      <c r="C202" s="82" t="s">
        <v>40</v>
      </c>
      <c r="D202" s="82" t="s">
        <v>32</v>
      </c>
      <c r="E202" s="82" t="s">
        <v>46</v>
      </c>
      <c r="F202" s="83">
        <v>2</v>
      </c>
      <c r="G202" s="84">
        <v>96.61</v>
      </c>
      <c r="H202" s="85">
        <v>0</v>
      </c>
      <c r="I202" s="86">
        <f t="shared" si="6"/>
        <v>193.22</v>
      </c>
      <c r="J202" s="86">
        <v>92.75</v>
      </c>
      <c r="K202" s="86">
        <f t="shared" si="7"/>
        <v>100.47</v>
      </c>
      <c r="L202" s="87" t="s">
        <v>63</v>
      </c>
      <c r="M202" s="87" t="s">
        <v>60</v>
      </c>
      <c r="N202" s="88" t="s">
        <v>61</v>
      </c>
    </row>
    <row r="203" spans="1:14">
      <c r="A203" s="81">
        <v>45435</v>
      </c>
      <c r="B203" s="82" t="s">
        <v>271</v>
      </c>
      <c r="C203" s="82" t="s">
        <v>40</v>
      </c>
      <c r="D203" s="82" t="s">
        <v>32</v>
      </c>
      <c r="E203" s="82" t="s">
        <v>46</v>
      </c>
      <c r="F203" s="83">
        <v>4</v>
      </c>
      <c r="G203" s="84">
        <v>95.16</v>
      </c>
      <c r="H203" s="85">
        <v>0.1</v>
      </c>
      <c r="I203" s="86">
        <f t="shared" si="6"/>
        <v>342.57600000000002</v>
      </c>
      <c r="J203" s="86">
        <v>182.71</v>
      </c>
      <c r="K203" s="86">
        <f t="shared" si="7"/>
        <v>159.86600000000001</v>
      </c>
      <c r="L203" s="87" t="s">
        <v>59</v>
      </c>
      <c r="M203" s="87" t="s">
        <v>68</v>
      </c>
      <c r="N203" s="88" t="s">
        <v>78</v>
      </c>
    </row>
    <row r="204" spans="1:14">
      <c r="A204" s="81">
        <v>45436</v>
      </c>
      <c r="B204" s="82" t="s">
        <v>272</v>
      </c>
      <c r="C204" s="82" t="s">
        <v>31</v>
      </c>
      <c r="D204" s="82" t="s">
        <v>37</v>
      </c>
      <c r="E204" s="82" t="s">
        <v>47</v>
      </c>
      <c r="F204" s="83">
        <v>7</v>
      </c>
      <c r="G204" s="84">
        <v>124.65</v>
      </c>
      <c r="H204" s="85">
        <v>0.08</v>
      </c>
      <c r="I204" s="86">
        <f t="shared" si="6"/>
        <v>802.74600000000009</v>
      </c>
      <c r="J204" s="86">
        <v>401.37</v>
      </c>
      <c r="K204" s="86">
        <f t="shared" si="7"/>
        <v>401.37600000000009</v>
      </c>
      <c r="L204" s="87" t="s">
        <v>63</v>
      </c>
      <c r="M204" s="87" t="s">
        <v>60</v>
      </c>
      <c r="N204" s="88" t="s">
        <v>61</v>
      </c>
    </row>
    <row r="205" spans="1:14">
      <c r="A205" s="81">
        <v>45436</v>
      </c>
      <c r="B205" s="82" t="s">
        <v>273</v>
      </c>
      <c r="C205" s="82" t="s">
        <v>40</v>
      </c>
      <c r="D205" s="82" t="s">
        <v>32</v>
      </c>
      <c r="E205" s="82" t="s">
        <v>42</v>
      </c>
      <c r="F205" s="83">
        <v>2</v>
      </c>
      <c r="G205" s="84">
        <v>749.17</v>
      </c>
      <c r="H205" s="85">
        <v>0.08</v>
      </c>
      <c r="I205" s="86">
        <f t="shared" si="6"/>
        <v>1378.4728</v>
      </c>
      <c r="J205" s="86">
        <v>913.99</v>
      </c>
      <c r="K205" s="86">
        <f t="shared" si="7"/>
        <v>464.4828</v>
      </c>
      <c r="L205" s="87" t="s">
        <v>67</v>
      </c>
      <c r="M205" s="87" t="s">
        <v>64</v>
      </c>
      <c r="N205" s="88" t="s">
        <v>74</v>
      </c>
    </row>
    <row r="206" spans="1:14">
      <c r="A206" s="81">
        <v>45436</v>
      </c>
      <c r="B206" s="82" t="s">
        <v>274</v>
      </c>
      <c r="C206" s="82" t="s">
        <v>26</v>
      </c>
      <c r="D206" s="82" t="s">
        <v>32</v>
      </c>
      <c r="E206" s="82" t="s">
        <v>46</v>
      </c>
      <c r="F206" s="83">
        <v>3</v>
      </c>
      <c r="G206" s="84">
        <v>92.11</v>
      </c>
      <c r="H206" s="85">
        <v>0.1</v>
      </c>
      <c r="I206" s="86">
        <f t="shared" si="6"/>
        <v>248.697</v>
      </c>
      <c r="J206" s="86">
        <v>132.63999999999999</v>
      </c>
      <c r="K206" s="86">
        <f t="shared" si="7"/>
        <v>116.05700000000002</v>
      </c>
      <c r="L206" s="87" t="s">
        <v>59</v>
      </c>
      <c r="M206" s="87" t="s">
        <v>60</v>
      </c>
      <c r="N206" s="88" t="s">
        <v>61</v>
      </c>
    </row>
    <row r="207" spans="1:14">
      <c r="A207" s="81">
        <v>45437</v>
      </c>
      <c r="B207" s="82" t="s">
        <v>275</v>
      </c>
      <c r="C207" s="82" t="s">
        <v>36</v>
      </c>
      <c r="D207" s="82" t="s">
        <v>32</v>
      </c>
      <c r="E207" s="82" t="s">
        <v>42</v>
      </c>
      <c r="F207" s="83">
        <v>5</v>
      </c>
      <c r="G207" s="84">
        <v>739.49</v>
      </c>
      <c r="H207" s="85">
        <v>0.1</v>
      </c>
      <c r="I207" s="86">
        <f t="shared" si="6"/>
        <v>3327.7049999999999</v>
      </c>
      <c r="J207" s="86">
        <v>2255.44</v>
      </c>
      <c r="K207" s="86">
        <f t="shared" si="7"/>
        <v>1072.2649999999999</v>
      </c>
      <c r="L207" s="87" t="s">
        <v>63</v>
      </c>
      <c r="M207" s="87" t="s">
        <v>68</v>
      </c>
      <c r="N207" s="88" t="s">
        <v>61</v>
      </c>
    </row>
    <row r="208" spans="1:14">
      <c r="A208" s="81">
        <v>45437</v>
      </c>
      <c r="B208" s="82" t="s">
        <v>276</v>
      </c>
      <c r="C208" s="82" t="s">
        <v>40</v>
      </c>
      <c r="D208" s="82" t="s">
        <v>27</v>
      </c>
      <c r="E208" s="82" t="s">
        <v>35</v>
      </c>
      <c r="F208" s="83">
        <v>3</v>
      </c>
      <c r="G208" s="84">
        <v>378.21</v>
      </c>
      <c r="H208" s="85">
        <v>0</v>
      </c>
      <c r="I208" s="86">
        <f t="shared" si="6"/>
        <v>1134.6299999999999</v>
      </c>
      <c r="J208" s="86">
        <v>680.78</v>
      </c>
      <c r="K208" s="86">
        <f t="shared" si="7"/>
        <v>453.84999999999991</v>
      </c>
      <c r="L208" s="87" t="s">
        <v>67</v>
      </c>
      <c r="M208" s="87" t="s">
        <v>64</v>
      </c>
      <c r="N208" s="88" t="s">
        <v>74</v>
      </c>
    </row>
    <row r="209" spans="1:14">
      <c r="A209" s="81">
        <v>45437</v>
      </c>
      <c r="B209" s="82" t="s">
        <v>277</v>
      </c>
      <c r="C209" s="82" t="s">
        <v>36</v>
      </c>
      <c r="D209" s="82" t="s">
        <v>37</v>
      </c>
      <c r="E209" s="82" t="s">
        <v>47</v>
      </c>
      <c r="F209" s="83">
        <v>6</v>
      </c>
      <c r="G209" s="84">
        <v>120.12</v>
      </c>
      <c r="H209" s="85">
        <v>0.1</v>
      </c>
      <c r="I209" s="86">
        <f t="shared" si="6"/>
        <v>648.64800000000002</v>
      </c>
      <c r="J209" s="86">
        <v>331.53</v>
      </c>
      <c r="K209" s="86">
        <f t="shared" si="7"/>
        <v>317.11800000000005</v>
      </c>
      <c r="L209" s="87" t="s">
        <v>67</v>
      </c>
      <c r="M209" s="87" t="s">
        <v>60</v>
      </c>
      <c r="N209" s="88" t="s">
        <v>78</v>
      </c>
    </row>
    <row r="210" spans="1:14">
      <c r="A210" s="81">
        <v>45437</v>
      </c>
      <c r="B210" s="82" t="s">
        <v>278</v>
      </c>
      <c r="C210" s="82" t="s">
        <v>26</v>
      </c>
      <c r="D210" s="82" t="s">
        <v>32</v>
      </c>
      <c r="E210" s="82" t="s">
        <v>46</v>
      </c>
      <c r="F210" s="83">
        <v>6</v>
      </c>
      <c r="G210" s="84">
        <v>92.16</v>
      </c>
      <c r="H210" s="85">
        <v>0.1</v>
      </c>
      <c r="I210" s="86">
        <f t="shared" si="6"/>
        <v>497.66400000000004</v>
      </c>
      <c r="J210" s="86">
        <v>265.42</v>
      </c>
      <c r="K210" s="86">
        <f t="shared" si="7"/>
        <v>232.24400000000003</v>
      </c>
      <c r="L210" s="87" t="s">
        <v>67</v>
      </c>
      <c r="M210" s="87" t="s">
        <v>64</v>
      </c>
      <c r="N210" s="88" t="s">
        <v>74</v>
      </c>
    </row>
    <row r="211" spans="1:14">
      <c r="A211" s="81">
        <v>45438</v>
      </c>
      <c r="B211" s="82" t="s">
        <v>279</v>
      </c>
      <c r="C211" s="82" t="s">
        <v>26</v>
      </c>
      <c r="D211" s="82" t="s">
        <v>32</v>
      </c>
      <c r="E211" s="82" t="s">
        <v>46</v>
      </c>
      <c r="F211" s="83">
        <v>12</v>
      </c>
      <c r="G211" s="84">
        <v>92.69</v>
      </c>
      <c r="H211" s="85">
        <v>0.05</v>
      </c>
      <c r="I211" s="86">
        <f t="shared" si="6"/>
        <v>1056.6659999999999</v>
      </c>
      <c r="J211" s="86">
        <v>533.89</v>
      </c>
      <c r="K211" s="86">
        <f t="shared" si="7"/>
        <v>522.77599999999995</v>
      </c>
      <c r="L211" s="87" t="s">
        <v>63</v>
      </c>
      <c r="M211" s="87" t="s">
        <v>68</v>
      </c>
      <c r="N211" s="88" t="s">
        <v>78</v>
      </c>
    </row>
    <row r="212" spans="1:14">
      <c r="A212" s="81">
        <v>45438</v>
      </c>
      <c r="B212" s="82" t="s">
        <v>280</v>
      </c>
      <c r="C212" s="82" t="s">
        <v>40</v>
      </c>
      <c r="D212" s="82" t="s">
        <v>32</v>
      </c>
      <c r="E212" s="82" t="s">
        <v>46</v>
      </c>
      <c r="F212" s="83">
        <v>1</v>
      </c>
      <c r="G212" s="84">
        <v>97.07</v>
      </c>
      <c r="H212" s="85">
        <v>0.03</v>
      </c>
      <c r="I212" s="86">
        <f t="shared" si="6"/>
        <v>94.157899999999984</v>
      </c>
      <c r="J212" s="86">
        <v>46.59</v>
      </c>
      <c r="K212" s="86">
        <f t="shared" si="7"/>
        <v>47.56789999999998</v>
      </c>
      <c r="L212" s="87" t="s">
        <v>59</v>
      </c>
      <c r="M212" s="87" t="s">
        <v>60</v>
      </c>
      <c r="N212" s="88" t="s">
        <v>65</v>
      </c>
    </row>
    <row r="213" spans="1:14">
      <c r="A213" s="81">
        <v>45439</v>
      </c>
      <c r="B213" s="82" t="s">
        <v>281</v>
      </c>
      <c r="C213" s="82" t="s">
        <v>36</v>
      </c>
      <c r="D213" s="82" t="s">
        <v>37</v>
      </c>
      <c r="E213" s="82" t="s">
        <v>47</v>
      </c>
      <c r="F213" s="83">
        <v>9</v>
      </c>
      <c r="G213" s="84">
        <v>116.33</v>
      </c>
      <c r="H213" s="85">
        <v>0.05</v>
      </c>
      <c r="I213" s="86">
        <f t="shared" si="6"/>
        <v>994.62149999999997</v>
      </c>
      <c r="J213" s="86">
        <v>481.61</v>
      </c>
      <c r="K213" s="86">
        <f t="shared" si="7"/>
        <v>513.01149999999996</v>
      </c>
      <c r="L213" s="87" t="s">
        <v>59</v>
      </c>
      <c r="M213" s="87" t="s">
        <v>64</v>
      </c>
      <c r="N213" s="88" t="s">
        <v>69</v>
      </c>
    </row>
    <row r="214" spans="1:14">
      <c r="A214" s="81">
        <v>45439</v>
      </c>
      <c r="B214" s="82" t="s">
        <v>282</v>
      </c>
      <c r="C214" s="82" t="s">
        <v>31</v>
      </c>
      <c r="D214" s="82" t="s">
        <v>27</v>
      </c>
      <c r="E214" s="82" t="s">
        <v>25</v>
      </c>
      <c r="F214" s="83">
        <v>7</v>
      </c>
      <c r="G214" s="84">
        <v>1134.8399999999999</v>
      </c>
      <c r="H214" s="85">
        <v>0.1</v>
      </c>
      <c r="I214" s="86">
        <f t="shared" si="6"/>
        <v>7149.4919999999993</v>
      </c>
      <c r="J214" s="86">
        <v>5401.84</v>
      </c>
      <c r="K214" s="86">
        <f t="shared" si="7"/>
        <v>1747.6519999999991</v>
      </c>
      <c r="L214" s="87" t="s">
        <v>63</v>
      </c>
      <c r="M214" s="87" t="s">
        <v>68</v>
      </c>
      <c r="N214" s="88" t="s">
        <v>65</v>
      </c>
    </row>
    <row r="215" spans="1:14">
      <c r="A215" s="81">
        <v>45439</v>
      </c>
      <c r="B215" s="82" t="s">
        <v>283</v>
      </c>
      <c r="C215" s="82" t="s">
        <v>31</v>
      </c>
      <c r="D215" s="82" t="s">
        <v>37</v>
      </c>
      <c r="E215" s="82" t="s">
        <v>47</v>
      </c>
      <c r="F215" s="83">
        <v>11</v>
      </c>
      <c r="G215" s="84">
        <v>122.37</v>
      </c>
      <c r="H215" s="85">
        <v>0.05</v>
      </c>
      <c r="I215" s="86">
        <f t="shared" si="6"/>
        <v>1278.7665000000002</v>
      </c>
      <c r="J215" s="86">
        <v>619.19000000000005</v>
      </c>
      <c r="K215" s="86">
        <f t="shared" si="7"/>
        <v>659.57650000000012</v>
      </c>
      <c r="L215" s="87" t="s">
        <v>67</v>
      </c>
      <c r="M215" s="87" t="s">
        <v>68</v>
      </c>
      <c r="N215" s="88" t="s">
        <v>65</v>
      </c>
    </row>
    <row r="216" spans="1:14">
      <c r="A216" s="81">
        <v>45441</v>
      </c>
      <c r="B216" s="82" t="s">
        <v>284</v>
      </c>
      <c r="C216" s="82" t="s">
        <v>36</v>
      </c>
      <c r="D216" s="82" t="s">
        <v>37</v>
      </c>
      <c r="E216" s="82" t="s">
        <v>48</v>
      </c>
      <c r="F216" s="83">
        <v>6</v>
      </c>
      <c r="G216" s="84">
        <v>69.94</v>
      </c>
      <c r="H216" s="85">
        <v>0</v>
      </c>
      <c r="I216" s="86">
        <f t="shared" si="6"/>
        <v>419.64</v>
      </c>
      <c r="J216" s="86">
        <v>176.25</v>
      </c>
      <c r="K216" s="86">
        <f t="shared" si="7"/>
        <v>243.39</v>
      </c>
      <c r="L216" s="87" t="s">
        <v>63</v>
      </c>
      <c r="M216" s="87" t="s">
        <v>64</v>
      </c>
      <c r="N216" s="88" t="s">
        <v>71</v>
      </c>
    </row>
    <row r="217" spans="1:14">
      <c r="A217" s="81">
        <v>45443</v>
      </c>
      <c r="B217" s="82" t="s">
        <v>285</v>
      </c>
      <c r="C217" s="82" t="s">
        <v>31</v>
      </c>
      <c r="D217" s="82" t="s">
        <v>27</v>
      </c>
      <c r="E217" s="82" t="s">
        <v>30</v>
      </c>
      <c r="F217" s="83">
        <v>7</v>
      </c>
      <c r="G217" s="84">
        <v>623.46</v>
      </c>
      <c r="H217" s="85">
        <v>0.08</v>
      </c>
      <c r="I217" s="86">
        <f t="shared" si="6"/>
        <v>4015.0824000000002</v>
      </c>
      <c r="J217" s="86">
        <v>2793.1</v>
      </c>
      <c r="K217" s="86">
        <f t="shared" si="7"/>
        <v>1221.9824000000003</v>
      </c>
      <c r="L217" s="87" t="s">
        <v>67</v>
      </c>
      <c r="M217" s="87" t="s">
        <v>60</v>
      </c>
      <c r="N217" s="88" t="s">
        <v>69</v>
      </c>
    </row>
    <row r="218" spans="1:14">
      <c r="A218" s="81">
        <v>45444</v>
      </c>
      <c r="B218" s="82" t="s">
        <v>286</v>
      </c>
      <c r="C218" s="82" t="s">
        <v>31</v>
      </c>
      <c r="D218" s="82" t="s">
        <v>32</v>
      </c>
      <c r="E218" s="82" t="s">
        <v>42</v>
      </c>
      <c r="F218" s="83">
        <v>3</v>
      </c>
      <c r="G218" s="84">
        <v>768.4</v>
      </c>
      <c r="H218" s="85">
        <v>0.03</v>
      </c>
      <c r="I218" s="86">
        <f t="shared" si="6"/>
        <v>2236.0439999999999</v>
      </c>
      <c r="J218" s="86">
        <v>1406.17</v>
      </c>
      <c r="K218" s="86">
        <f t="shared" si="7"/>
        <v>829.8739999999998</v>
      </c>
      <c r="L218" s="87" t="s">
        <v>67</v>
      </c>
      <c r="M218" s="87" t="s">
        <v>60</v>
      </c>
      <c r="N218" s="88" t="s">
        <v>65</v>
      </c>
    </row>
    <row r="219" spans="1:14">
      <c r="A219" s="81">
        <v>45448</v>
      </c>
      <c r="B219" s="82" t="s">
        <v>287</v>
      </c>
      <c r="C219" s="82" t="s">
        <v>26</v>
      </c>
      <c r="D219" s="82" t="s">
        <v>32</v>
      </c>
      <c r="E219" s="82" t="s">
        <v>46</v>
      </c>
      <c r="F219" s="83">
        <v>1</v>
      </c>
      <c r="G219" s="84">
        <v>91.61</v>
      </c>
      <c r="H219" s="85">
        <v>0.12</v>
      </c>
      <c r="I219" s="86">
        <f t="shared" si="6"/>
        <v>80.616799999999998</v>
      </c>
      <c r="J219" s="86">
        <v>43.97</v>
      </c>
      <c r="K219" s="86">
        <f t="shared" si="7"/>
        <v>36.646799999999999</v>
      </c>
      <c r="L219" s="87" t="s">
        <v>67</v>
      </c>
      <c r="M219" s="87" t="s">
        <v>60</v>
      </c>
      <c r="N219" s="88" t="s">
        <v>78</v>
      </c>
    </row>
    <row r="220" spans="1:14">
      <c r="A220" s="81">
        <v>45448</v>
      </c>
      <c r="B220" s="82" t="s">
        <v>288</v>
      </c>
      <c r="C220" s="82" t="s">
        <v>31</v>
      </c>
      <c r="D220" s="82" t="s">
        <v>27</v>
      </c>
      <c r="E220" s="82" t="s">
        <v>25</v>
      </c>
      <c r="F220" s="83">
        <v>11</v>
      </c>
      <c r="G220" s="84">
        <v>1213.42</v>
      </c>
      <c r="H220" s="85">
        <v>0.05</v>
      </c>
      <c r="I220" s="86">
        <f t="shared" si="6"/>
        <v>12680.239</v>
      </c>
      <c r="J220" s="86">
        <v>9076.3799999999992</v>
      </c>
      <c r="K220" s="86">
        <f t="shared" si="7"/>
        <v>3603.8590000000004</v>
      </c>
      <c r="L220" s="87" t="s">
        <v>63</v>
      </c>
      <c r="M220" s="87" t="s">
        <v>68</v>
      </c>
      <c r="N220" s="88" t="s">
        <v>65</v>
      </c>
    </row>
    <row r="221" spans="1:14">
      <c r="A221" s="81">
        <v>45449</v>
      </c>
      <c r="B221" s="82" t="s">
        <v>289</v>
      </c>
      <c r="C221" s="82" t="s">
        <v>31</v>
      </c>
      <c r="D221" s="82" t="s">
        <v>32</v>
      </c>
      <c r="E221" s="82" t="s">
        <v>39</v>
      </c>
      <c r="F221" s="83">
        <v>4</v>
      </c>
      <c r="G221" s="84">
        <v>420.02</v>
      </c>
      <c r="H221" s="85">
        <v>0.03</v>
      </c>
      <c r="I221" s="86">
        <f t="shared" si="6"/>
        <v>1629.6776</v>
      </c>
      <c r="J221" s="86">
        <v>957.65</v>
      </c>
      <c r="K221" s="86">
        <f t="shared" si="7"/>
        <v>672.02760000000001</v>
      </c>
      <c r="L221" s="87" t="s">
        <v>67</v>
      </c>
      <c r="M221" s="87" t="s">
        <v>64</v>
      </c>
      <c r="N221" s="88" t="s">
        <v>69</v>
      </c>
    </row>
    <row r="222" spans="1:14">
      <c r="A222" s="81">
        <v>45450</v>
      </c>
      <c r="B222" s="82" t="s">
        <v>290</v>
      </c>
      <c r="C222" s="82" t="s">
        <v>40</v>
      </c>
      <c r="D222" s="82" t="s">
        <v>27</v>
      </c>
      <c r="E222" s="82" t="s">
        <v>30</v>
      </c>
      <c r="F222" s="83">
        <v>10</v>
      </c>
      <c r="G222" s="84">
        <v>629.83000000000004</v>
      </c>
      <c r="H222" s="85">
        <v>0.12</v>
      </c>
      <c r="I222" s="86">
        <f t="shared" si="6"/>
        <v>5542.5039999999999</v>
      </c>
      <c r="J222" s="86">
        <v>4030.91</v>
      </c>
      <c r="K222" s="86">
        <f t="shared" si="7"/>
        <v>1511.5940000000001</v>
      </c>
      <c r="L222" s="87" t="s">
        <v>63</v>
      </c>
      <c r="M222" s="87" t="s">
        <v>68</v>
      </c>
      <c r="N222" s="88" t="s">
        <v>78</v>
      </c>
    </row>
    <row r="223" spans="1:14">
      <c r="A223" s="81">
        <v>45450</v>
      </c>
      <c r="B223" s="82" t="s">
        <v>291</v>
      </c>
      <c r="C223" s="82" t="s">
        <v>26</v>
      </c>
      <c r="D223" s="82" t="s">
        <v>32</v>
      </c>
      <c r="E223" s="82" t="s">
        <v>42</v>
      </c>
      <c r="F223" s="83">
        <v>2</v>
      </c>
      <c r="G223" s="84">
        <v>772.27</v>
      </c>
      <c r="H223" s="85">
        <v>0.05</v>
      </c>
      <c r="I223" s="86">
        <f t="shared" si="6"/>
        <v>1467.3129999999999</v>
      </c>
      <c r="J223" s="86">
        <v>942.17</v>
      </c>
      <c r="K223" s="86">
        <f t="shared" si="7"/>
        <v>525.14299999999992</v>
      </c>
      <c r="L223" s="87" t="s">
        <v>67</v>
      </c>
      <c r="M223" s="87" t="s">
        <v>60</v>
      </c>
      <c r="N223" s="88" t="s">
        <v>78</v>
      </c>
    </row>
    <row r="224" spans="1:14">
      <c r="A224" s="81">
        <v>45450</v>
      </c>
      <c r="B224" s="82" t="s">
        <v>292</v>
      </c>
      <c r="C224" s="82" t="s">
        <v>31</v>
      </c>
      <c r="D224" s="82" t="s">
        <v>37</v>
      </c>
      <c r="E224" s="82" t="s">
        <v>47</v>
      </c>
      <c r="F224" s="83">
        <v>3</v>
      </c>
      <c r="G224" s="84">
        <v>125.52</v>
      </c>
      <c r="H224" s="85">
        <v>0.05</v>
      </c>
      <c r="I224" s="86">
        <f t="shared" si="6"/>
        <v>357.73199999999997</v>
      </c>
      <c r="J224" s="86">
        <v>173.22</v>
      </c>
      <c r="K224" s="86">
        <f t="shared" si="7"/>
        <v>184.51199999999997</v>
      </c>
      <c r="L224" s="87" t="s">
        <v>63</v>
      </c>
      <c r="M224" s="87" t="s">
        <v>60</v>
      </c>
      <c r="N224" s="88" t="s">
        <v>69</v>
      </c>
    </row>
    <row r="225" spans="1:14">
      <c r="A225" s="81">
        <v>45451</v>
      </c>
      <c r="B225" s="82" t="s">
        <v>293</v>
      </c>
      <c r="C225" s="82" t="s">
        <v>36</v>
      </c>
      <c r="D225" s="82" t="s">
        <v>27</v>
      </c>
      <c r="E225" s="82" t="s">
        <v>30</v>
      </c>
      <c r="F225" s="83">
        <v>7</v>
      </c>
      <c r="G225" s="84">
        <v>595.71</v>
      </c>
      <c r="H225" s="85">
        <v>0.05</v>
      </c>
      <c r="I225" s="86">
        <f t="shared" si="6"/>
        <v>3961.4715000000001</v>
      </c>
      <c r="J225" s="86">
        <v>2668.78</v>
      </c>
      <c r="K225" s="86">
        <f t="shared" si="7"/>
        <v>1292.6914999999999</v>
      </c>
      <c r="L225" s="87" t="s">
        <v>63</v>
      </c>
      <c r="M225" s="87" t="s">
        <v>68</v>
      </c>
      <c r="N225" s="88" t="s">
        <v>69</v>
      </c>
    </row>
    <row r="226" spans="1:14">
      <c r="A226" s="81">
        <v>45451</v>
      </c>
      <c r="B226" s="82" t="s">
        <v>294</v>
      </c>
      <c r="C226" s="82" t="s">
        <v>36</v>
      </c>
      <c r="D226" s="82" t="s">
        <v>32</v>
      </c>
      <c r="E226" s="82" t="s">
        <v>39</v>
      </c>
      <c r="F226" s="83">
        <v>4</v>
      </c>
      <c r="G226" s="84">
        <v>431.98</v>
      </c>
      <c r="H226" s="85">
        <v>0</v>
      </c>
      <c r="I226" s="86">
        <f t="shared" si="6"/>
        <v>1727.92</v>
      </c>
      <c r="J226" s="86">
        <v>984.91</v>
      </c>
      <c r="K226" s="86">
        <f t="shared" si="7"/>
        <v>743.0100000000001</v>
      </c>
      <c r="L226" s="87" t="s">
        <v>63</v>
      </c>
      <c r="M226" s="87" t="s">
        <v>68</v>
      </c>
      <c r="N226" s="88" t="s">
        <v>65</v>
      </c>
    </row>
    <row r="227" spans="1:14">
      <c r="A227" s="81">
        <v>45452</v>
      </c>
      <c r="B227" s="82" t="s">
        <v>295</v>
      </c>
      <c r="C227" s="82" t="s">
        <v>40</v>
      </c>
      <c r="D227" s="82" t="s">
        <v>37</v>
      </c>
      <c r="E227" s="82" t="s">
        <v>48</v>
      </c>
      <c r="F227" s="83">
        <v>9</v>
      </c>
      <c r="G227" s="84">
        <v>70.930000000000007</v>
      </c>
      <c r="H227" s="85">
        <v>0.08</v>
      </c>
      <c r="I227" s="86">
        <f t="shared" si="6"/>
        <v>587.30040000000008</v>
      </c>
      <c r="J227" s="86">
        <v>268.12</v>
      </c>
      <c r="K227" s="86">
        <f t="shared" si="7"/>
        <v>319.18040000000008</v>
      </c>
      <c r="L227" s="87" t="s">
        <v>63</v>
      </c>
      <c r="M227" s="87" t="s">
        <v>60</v>
      </c>
      <c r="N227" s="88" t="s">
        <v>65</v>
      </c>
    </row>
    <row r="228" spans="1:14">
      <c r="A228" s="81">
        <v>45455</v>
      </c>
      <c r="B228" s="82" t="s">
        <v>296</v>
      </c>
      <c r="C228" s="82" t="s">
        <v>40</v>
      </c>
      <c r="D228" s="82" t="s">
        <v>32</v>
      </c>
      <c r="E228" s="82" t="s">
        <v>42</v>
      </c>
      <c r="F228" s="83">
        <v>2</v>
      </c>
      <c r="G228" s="84">
        <v>760.38</v>
      </c>
      <c r="H228" s="85">
        <v>0</v>
      </c>
      <c r="I228" s="86">
        <f t="shared" si="6"/>
        <v>1520.76</v>
      </c>
      <c r="J228" s="86">
        <v>927.66</v>
      </c>
      <c r="K228" s="86">
        <f t="shared" si="7"/>
        <v>593.1</v>
      </c>
      <c r="L228" s="87" t="s">
        <v>67</v>
      </c>
      <c r="M228" s="87" t="s">
        <v>60</v>
      </c>
      <c r="N228" s="88" t="s">
        <v>69</v>
      </c>
    </row>
    <row r="229" spans="1:14">
      <c r="A229" s="81">
        <v>45455</v>
      </c>
      <c r="B229" s="82" t="s">
        <v>297</v>
      </c>
      <c r="C229" s="82" t="s">
        <v>40</v>
      </c>
      <c r="D229" s="82" t="s">
        <v>37</v>
      </c>
      <c r="E229" s="82" t="s">
        <v>47</v>
      </c>
      <c r="F229" s="83">
        <v>5</v>
      </c>
      <c r="G229" s="84">
        <v>119.53</v>
      </c>
      <c r="H229" s="85">
        <v>0.05</v>
      </c>
      <c r="I229" s="86">
        <f t="shared" si="6"/>
        <v>567.76749999999993</v>
      </c>
      <c r="J229" s="86">
        <v>274.92</v>
      </c>
      <c r="K229" s="86">
        <f t="shared" si="7"/>
        <v>292.84749999999991</v>
      </c>
      <c r="L229" s="87" t="s">
        <v>59</v>
      </c>
      <c r="M229" s="87" t="s">
        <v>68</v>
      </c>
      <c r="N229" s="88" t="s">
        <v>65</v>
      </c>
    </row>
    <row r="230" spans="1:14">
      <c r="A230" s="81">
        <v>45457</v>
      </c>
      <c r="B230" s="82" t="s">
        <v>298</v>
      </c>
      <c r="C230" s="82" t="s">
        <v>26</v>
      </c>
      <c r="D230" s="82" t="s">
        <v>32</v>
      </c>
      <c r="E230" s="82" t="s">
        <v>42</v>
      </c>
      <c r="F230" s="83">
        <v>8</v>
      </c>
      <c r="G230" s="84">
        <v>802.34</v>
      </c>
      <c r="H230" s="85">
        <v>0.05</v>
      </c>
      <c r="I230" s="86">
        <f t="shared" si="6"/>
        <v>6097.7839999999997</v>
      </c>
      <c r="J230" s="86">
        <v>3915.42</v>
      </c>
      <c r="K230" s="86">
        <f t="shared" si="7"/>
        <v>2182.3639999999996</v>
      </c>
      <c r="L230" s="87" t="s">
        <v>67</v>
      </c>
      <c r="M230" s="87" t="s">
        <v>64</v>
      </c>
      <c r="N230" s="88" t="s">
        <v>69</v>
      </c>
    </row>
    <row r="231" spans="1:14">
      <c r="A231" s="81">
        <v>45458</v>
      </c>
      <c r="B231" s="82" t="s">
        <v>299</v>
      </c>
      <c r="C231" s="82" t="s">
        <v>36</v>
      </c>
      <c r="D231" s="82" t="s">
        <v>37</v>
      </c>
      <c r="E231" s="82" t="s">
        <v>48</v>
      </c>
      <c r="F231" s="83">
        <v>2</v>
      </c>
      <c r="G231" s="84">
        <v>69.739999999999995</v>
      </c>
      <c r="H231" s="85">
        <v>0</v>
      </c>
      <c r="I231" s="86">
        <f t="shared" si="6"/>
        <v>139.47999999999999</v>
      </c>
      <c r="J231" s="86">
        <v>58.58</v>
      </c>
      <c r="K231" s="86">
        <f t="shared" si="7"/>
        <v>80.899999999999991</v>
      </c>
      <c r="L231" s="87" t="s">
        <v>67</v>
      </c>
      <c r="M231" s="87" t="s">
        <v>60</v>
      </c>
      <c r="N231" s="88" t="s">
        <v>71</v>
      </c>
    </row>
    <row r="232" spans="1:14">
      <c r="A232" s="81">
        <v>45458</v>
      </c>
      <c r="B232" s="82" t="s">
        <v>300</v>
      </c>
      <c r="C232" s="82" t="s">
        <v>26</v>
      </c>
      <c r="D232" s="82" t="s">
        <v>27</v>
      </c>
      <c r="E232" s="82" t="s">
        <v>25</v>
      </c>
      <c r="F232" s="83">
        <v>9</v>
      </c>
      <c r="G232" s="84">
        <v>1212.1300000000001</v>
      </c>
      <c r="H232" s="85">
        <v>0.1</v>
      </c>
      <c r="I232" s="86">
        <f t="shared" si="6"/>
        <v>9818.2530000000024</v>
      </c>
      <c r="J232" s="86">
        <v>7418.24</v>
      </c>
      <c r="K232" s="86">
        <f t="shared" si="7"/>
        <v>2400.0130000000026</v>
      </c>
      <c r="L232" s="87" t="s">
        <v>59</v>
      </c>
      <c r="M232" s="87" t="s">
        <v>64</v>
      </c>
      <c r="N232" s="88" t="s">
        <v>61</v>
      </c>
    </row>
    <row r="233" spans="1:14">
      <c r="A233" s="81">
        <v>45458</v>
      </c>
      <c r="B233" s="82" t="s">
        <v>301</v>
      </c>
      <c r="C233" s="82" t="s">
        <v>36</v>
      </c>
      <c r="D233" s="82" t="s">
        <v>32</v>
      </c>
      <c r="E233" s="82" t="s">
        <v>39</v>
      </c>
      <c r="F233" s="83">
        <v>1</v>
      </c>
      <c r="G233" s="84">
        <v>417.51</v>
      </c>
      <c r="H233" s="85">
        <v>0.08</v>
      </c>
      <c r="I233" s="86">
        <f t="shared" si="6"/>
        <v>384.10919999999999</v>
      </c>
      <c r="J233" s="86">
        <v>237.98</v>
      </c>
      <c r="K233" s="86">
        <f t="shared" si="7"/>
        <v>146.1292</v>
      </c>
      <c r="L233" s="87" t="s">
        <v>67</v>
      </c>
      <c r="M233" s="87" t="s">
        <v>64</v>
      </c>
      <c r="N233" s="88" t="s">
        <v>65</v>
      </c>
    </row>
    <row r="234" spans="1:14">
      <c r="A234" s="81">
        <v>45459</v>
      </c>
      <c r="B234" s="82" t="s">
        <v>302</v>
      </c>
      <c r="C234" s="82" t="s">
        <v>36</v>
      </c>
      <c r="D234" s="82" t="s">
        <v>27</v>
      </c>
      <c r="E234" s="82" t="s">
        <v>30</v>
      </c>
      <c r="F234" s="83">
        <v>5</v>
      </c>
      <c r="G234" s="84">
        <v>595.70000000000005</v>
      </c>
      <c r="H234" s="85">
        <v>0.12</v>
      </c>
      <c r="I234" s="86">
        <f t="shared" si="6"/>
        <v>2621.08</v>
      </c>
      <c r="J234" s="86">
        <v>1906.24</v>
      </c>
      <c r="K234" s="86">
        <f t="shared" si="7"/>
        <v>714.83999999999992</v>
      </c>
      <c r="L234" s="87" t="s">
        <v>67</v>
      </c>
      <c r="M234" s="87" t="s">
        <v>60</v>
      </c>
      <c r="N234" s="88" t="s">
        <v>61</v>
      </c>
    </row>
    <row r="235" spans="1:14">
      <c r="A235" s="81">
        <v>45459</v>
      </c>
      <c r="B235" s="82" t="s">
        <v>303</v>
      </c>
      <c r="C235" s="82" t="s">
        <v>26</v>
      </c>
      <c r="D235" s="82" t="s">
        <v>37</v>
      </c>
      <c r="E235" s="82" t="s">
        <v>48</v>
      </c>
      <c r="F235" s="83">
        <v>8</v>
      </c>
      <c r="G235" s="84">
        <v>65.459999999999994</v>
      </c>
      <c r="H235" s="85">
        <v>0.05</v>
      </c>
      <c r="I235" s="86">
        <f t="shared" si="6"/>
        <v>497.49599999999992</v>
      </c>
      <c r="J235" s="86">
        <v>219.95</v>
      </c>
      <c r="K235" s="86">
        <f t="shared" si="7"/>
        <v>277.54599999999994</v>
      </c>
      <c r="L235" s="87" t="s">
        <v>67</v>
      </c>
      <c r="M235" s="87" t="s">
        <v>60</v>
      </c>
      <c r="N235" s="88" t="s">
        <v>74</v>
      </c>
    </row>
    <row r="236" spans="1:14">
      <c r="A236" s="81">
        <v>45460</v>
      </c>
      <c r="B236" s="82" t="s">
        <v>304</v>
      </c>
      <c r="C236" s="82" t="s">
        <v>26</v>
      </c>
      <c r="D236" s="82" t="s">
        <v>27</v>
      </c>
      <c r="E236" s="82" t="s">
        <v>25</v>
      </c>
      <c r="F236" s="83">
        <v>2</v>
      </c>
      <c r="G236" s="84">
        <v>1148.04</v>
      </c>
      <c r="H236" s="85">
        <v>0.1</v>
      </c>
      <c r="I236" s="86">
        <f t="shared" si="6"/>
        <v>2066.4720000000002</v>
      </c>
      <c r="J236" s="86">
        <v>1561.33</v>
      </c>
      <c r="K236" s="86">
        <f t="shared" si="7"/>
        <v>505.14200000000028</v>
      </c>
      <c r="L236" s="87" t="s">
        <v>63</v>
      </c>
      <c r="M236" s="87" t="s">
        <v>64</v>
      </c>
      <c r="N236" s="88" t="s">
        <v>69</v>
      </c>
    </row>
    <row r="237" spans="1:14">
      <c r="A237" s="81">
        <v>45460</v>
      </c>
      <c r="B237" s="82" t="s">
        <v>305</v>
      </c>
      <c r="C237" s="82" t="s">
        <v>31</v>
      </c>
      <c r="D237" s="82" t="s">
        <v>27</v>
      </c>
      <c r="E237" s="82" t="s">
        <v>25</v>
      </c>
      <c r="F237" s="83">
        <v>7</v>
      </c>
      <c r="G237" s="84">
        <v>1181.8499999999999</v>
      </c>
      <c r="H237" s="85">
        <v>0.05</v>
      </c>
      <c r="I237" s="86">
        <f t="shared" si="6"/>
        <v>7859.3024999999989</v>
      </c>
      <c r="J237" s="86">
        <v>5625.61</v>
      </c>
      <c r="K237" s="86">
        <f t="shared" si="7"/>
        <v>2233.6924999999992</v>
      </c>
      <c r="L237" s="87" t="s">
        <v>67</v>
      </c>
      <c r="M237" s="87" t="s">
        <v>68</v>
      </c>
      <c r="N237" s="88" t="s">
        <v>71</v>
      </c>
    </row>
    <row r="238" spans="1:14">
      <c r="A238" s="81">
        <v>45462</v>
      </c>
      <c r="B238" s="82" t="s">
        <v>306</v>
      </c>
      <c r="C238" s="82" t="s">
        <v>40</v>
      </c>
      <c r="D238" s="82" t="s">
        <v>37</v>
      </c>
      <c r="E238" s="82" t="s">
        <v>48</v>
      </c>
      <c r="F238" s="83">
        <v>4</v>
      </c>
      <c r="G238" s="84">
        <v>71.69</v>
      </c>
      <c r="H238" s="85">
        <v>0.05</v>
      </c>
      <c r="I238" s="86">
        <f t="shared" si="6"/>
        <v>272.42199999999997</v>
      </c>
      <c r="J238" s="86">
        <v>120.44</v>
      </c>
      <c r="K238" s="86">
        <f t="shared" si="7"/>
        <v>151.98199999999997</v>
      </c>
      <c r="L238" s="87" t="s">
        <v>63</v>
      </c>
      <c r="M238" s="87" t="s">
        <v>68</v>
      </c>
      <c r="N238" s="88" t="s">
        <v>78</v>
      </c>
    </row>
    <row r="239" spans="1:14">
      <c r="A239" s="81">
        <v>45462</v>
      </c>
      <c r="B239" s="82" t="s">
        <v>307</v>
      </c>
      <c r="C239" s="82" t="s">
        <v>40</v>
      </c>
      <c r="D239" s="82" t="s">
        <v>27</v>
      </c>
      <c r="E239" s="82" t="s">
        <v>30</v>
      </c>
      <c r="F239" s="83">
        <v>3</v>
      </c>
      <c r="G239" s="84">
        <v>651.99</v>
      </c>
      <c r="H239" s="85">
        <v>0.05</v>
      </c>
      <c r="I239" s="86">
        <f t="shared" si="6"/>
        <v>1858.1714999999999</v>
      </c>
      <c r="J239" s="86">
        <v>1251.82</v>
      </c>
      <c r="K239" s="86">
        <f t="shared" si="7"/>
        <v>606.35149999999999</v>
      </c>
      <c r="L239" s="87" t="s">
        <v>63</v>
      </c>
      <c r="M239" s="87" t="s">
        <v>64</v>
      </c>
      <c r="N239" s="88" t="s">
        <v>65</v>
      </c>
    </row>
    <row r="240" spans="1:14">
      <c r="A240" s="81">
        <v>45463</v>
      </c>
      <c r="B240" s="82" t="s">
        <v>308</v>
      </c>
      <c r="C240" s="82" t="s">
        <v>31</v>
      </c>
      <c r="D240" s="82" t="s">
        <v>37</v>
      </c>
      <c r="E240" s="82" t="s">
        <v>47</v>
      </c>
      <c r="F240" s="83">
        <v>8</v>
      </c>
      <c r="G240" s="84">
        <v>119.83</v>
      </c>
      <c r="H240" s="85">
        <v>0.05</v>
      </c>
      <c r="I240" s="86">
        <f t="shared" si="6"/>
        <v>910.70799999999997</v>
      </c>
      <c r="J240" s="86">
        <v>440.97</v>
      </c>
      <c r="K240" s="86">
        <f t="shared" si="7"/>
        <v>469.73799999999994</v>
      </c>
      <c r="L240" s="87" t="s">
        <v>67</v>
      </c>
      <c r="M240" s="87" t="s">
        <v>68</v>
      </c>
      <c r="N240" s="88" t="s">
        <v>65</v>
      </c>
    </row>
    <row r="241" spans="1:14">
      <c r="A241" s="81">
        <v>45464</v>
      </c>
      <c r="B241" s="82" t="s">
        <v>309</v>
      </c>
      <c r="C241" s="82" t="s">
        <v>40</v>
      </c>
      <c r="D241" s="82" t="s">
        <v>32</v>
      </c>
      <c r="E241" s="82" t="s">
        <v>42</v>
      </c>
      <c r="F241" s="83">
        <v>3</v>
      </c>
      <c r="G241" s="84">
        <v>789.47</v>
      </c>
      <c r="H241" s="85">
        <v>0.12</v>
      </c>
      <c r="I241" s="86">
        <f t="shared" si="6"/>
        <v>2084.2008000000001</v>
      </c>
      <c r="J241" s="86">
        <v>1444.73</v>
      </c>
      <c r="K241" s="86">
        <f t="shared" si="7"/>
        <v>639.47080000000005</v>
      </c>
      <c r="L241" s="87" t="s">
        <v>63</v>
      </c>
      <c r="M241" s="87" t="s">
        <v>68</v>
      </c>
      <c r="N241" s="88" t="s">
        <v>61</v>
      </c>
    </row>
    <row r="242" spans="1:14">
      <c r="A242" s="81">
        <v>45464</v>
      </c>
      <c r="B242" s="82" t="s">
        <v>310</v>
      </c>
      <c r="C242" s="82" t="s">
        <v>36</v>
      </c>
      <c r="D242" s="82" t="s">
        <v>37</v>
      </c>
      <c r="E242" s="82" t="s">
        <v>47</v>
      </c>
      <c r="F242" s="83">
        <v>7</v>
      </c>
      <c r="G242" s="84">
        <v>122.98</v>
      </c>
      <c r="H242" s="85">
        <v>0.05</v>
      </c>
      <c r="I242" s="86">
        <f t="shared" si="6"/>
        <v>817.81700000000001</v>
      </c>
      <c r="J242" s="86">
        <v>396</v>
      </c>
      <c r="K242" s="86">
        <f t="shared" si="7"/>
        <v>421.81700000000001</v>
      </c>
      <c r="L242" s="87" t="s">
        <v>63</v>
      </c>
      <c r="M242" s="87" t="s">
        <v>64</v>
      </c>
      <c r="N242" s="88" t="s">
        <v>65</v>
      </c>
    </row>
    <row r="243" spans="1:14">
      <c r="A243" s="81">
        <v>45464</v>
      </c>
      <c r="B243" s="82" t="s">
        <v>311</v>
      </c>
      <c r="C243" s="82" t="s">
        <v>40</v>
      </c>
      <c r="D243" s="82" t="s">
        <v>27</v>
      </c>
      <c r="E243" s="82" t="s">
        <v>35</v>
      </c>
      <c r="F243" s="83">
        <v>5</v>
      </c>
      <c r="G243" s="84">
        <v>363.55</v>
      </c>
      <c r="H243" s="85">
        <v>0.08</v>
      </c>
      <c r="I243" s="86">
        <f t="shared" si="6"/>
        <v>1672.3300000000002</v>
      </c>
      <c r="J243" s="86">
        <v>1090.6500000000001</v>
      </c>
      <c r="K243" s="86">
        <f t="shared" si="7"/>
        <v>581.68000000000006</v>
      </c>
      <c r="L243" s="87" t="s">
        <v>59</v>
      </c>
      <c r="M243" s="87" t="s">
        <v>68</v>
      </c>
      <c r="N243" s="88" t="s">
        <v>71</v>
      </c>
    </row>
    <row r="244" spans="1:14">
      <c r="A244" s="81">
        <v>45464</v>
      </c>
      <c r="B244" s="82" t="s">
        <v>312</v>
      </c>
      <c r="C244" s="82" t="s">
        <v>36</v>
      </c>
      <c r="D244" s="82" t="s">
        <v>37</v>
      </c>
      <c r="E244" s="82" t="s">
        <v>48</v>
      </c>
      <c r="F244" s="83">
        <v>8</v>
      </c>
      <c r="G244" s="84">
        <v>66.2</v>
      </c>
      <c r="H244" s="85">
        <v>0.03</v>
      </c>
      <c r="I244" s="86">
        <f t="shared" si="6"/>
        <v>513.71199999999999</v>
      </c>
      <c r="J244" s="86">
        <v>222.43</v>
      </c>
      <c r="K244" s="86">
        <f t="shared" si="7"/>
        <v>291.28199999999998</v>
      </c>
      <c r="L244" s="87" t="s">
        <v>59</v>
      </c>
      <c r="M244" s="87" t="s">
        <v>64</v>
      </c>
      <c r="N244" s="88" t="s">
        <v>69</v>
      </c>
    </row>
    <row r="245" spans="1:14">
      <c r="A245" s="81">
        <v>45465</v>
      </c>
      <c r="B245" s="82" t="s">
        <v>313</v>
      </c>
      <c r="C245" s="82" t="s">
        <v>26</v>
      </c>
      <c r="D245" s="82" t="s">
        <v>37</v>
      </c>
      <c r="E245" s="82" t="s">
        <v>47</v>
      </c>
      <c r="F245" s="83">
        <v>5</v>
      </c>
      <c r="G245" s="84">
        <v>122.79</v>
      </c>
      <c r="H245" s="85">
        <v>0.12</v>
      </c>
      <c r="I245" s="86">
        <f t="shared" si="6"/>
        <v>540.27600000000007</v>
      </c>
      <c r="J245" s="86">
        <v>282.42</v>
      </c>
      <c r="K245" s="86">
        <f t="shared" si="7"/>
        <v>257.85600000000005</v>
      </c>
      <c r="L245" s="87" t="s">
        <v>67</v>
      </c>
      <c r="M245" s="87" t="s">
        <v>60</v>
      </c>
      <c r="N245" s="88" t="s">
        <v>65</v>
      </c>
    </row>
    <row r="246" spans="1:14">
      <c r="A246" s="81">
        <v>45466</v>
      </c>
      <c r="B246" s="82" t="s">
        <v>314</v>
      </c>
      <c r="C246" s="82" t="s">
        <v>40</v>
      </c>
      <c r="D246" s="82" t="s">
        <v>27</v>
      </c>
      <c r="E246" s="82" t="s">
        <v>30</v>
      </c>
      <c r="F246" s="83">
        <v>4</v>
      </c>
      <c r="G246" s="84">
        <v>638.14</v>
      </c>
      <c r="H246" s="85">
        <v>0.08</v>
      </c>
      <c r="I246" s="86">
        <f t="shared" si="6"/>
        <v>2348.3552</v>
      </c>
      <c r="J246" s="86">
        <v>1633.64</v>
      </c>
      <c r="K246" s="86">
        <f t="shared" si="7"/>
        <v>714.71519999999987</v>
      </c>
      <c r="L246" s="87" t="s">
        <v>67</v>
      </c>
      <c r="M246" s="87" t="s">
        <v>64</v>
      </c>
      <c r="N246" s="88" t="s">
        <v>65</v>
      </c>
    </row>
    <row r="247" spans="1:14">
      <c r="A247" s="81">
        <v>45467</v>
      </c>
      <c r="B247" s="82" t="s">
        <v>315</v>
      </c>
      <c r="C247" s="82" t="s">
        <v>36</v>
      </c>
      <c r="D247" s="82" t="s">
        <v>27</v>
      </c>
      <c r="E247" s="82" t="s">
        <v>30</v>
      </c>
      <c r="F247" s="83">
        <v>5</v>
      </c>
      <c r="G247" s="84">
        <v>654.76</v>
      </c>
      <c r="H247" s="85">
        <v>0.12</v>
      </c>
      <c r="I247" s="86">
        <f t="shared" si="6"/>
        <v>2880.944</v>
      </c>
      <c r="J247" s="86">
        <v>2095.23</v>
      </c>
      <c r="K247" s="86">
        <f t="shared" si="7"/>
        <v>785.71399999999994</v>
      </c>
      <c r="L247" s="87" t="s">
        <v>59</v>
      </c>
      <c r="M247" s="87" t="s">
        <v>64</v>
      </c>
      <c r="N247" s="88" t="s">
        <v>61</v>
      </c>
    </row>
    <row r="248" spans="1:14">
      <c r="A248" s="81">
        <v>45470</v>
      </c>
      <c r="B248" s="82" t="s">
        <v>316</v>
      </c>
      <c r="C248" s="82" t="s">
        <v>36</v>
      </c>
      <c r="D248" s="82" t="s">
        <v>27</v>
      </c>
      <c r="E248" s="82" t="s">
        <v>30</v>
      </c>
      <c r="F248" s="83">
        <v>2</v>
      </c>
      <c r="G248" s="84">
        <v>626.11</v>
      </c>
      <c r="H248" s="85">
        <v>0.03</v>
      </c>
      <c r="I248" s="86">
        <f t="shared" si="6"/>
        <v>1214.6533999999999</v>
      </c>
      <c r="J248" s="86">
        <v>801.42</v>
      </c>
      <c r="K248" s="86">
        <f t="shared" si="7"/>
        <v>413.23339999999996</v>
      </c>
      <c r="L248" s="87" t="s">
        <v>63</v>
      </c>
      <c r="M248" s="87" t="s">
        <v>64</v>
      </c>
      <c r="N248" s="88" t="s">
        <v>71</v>
      </c>
    </row>
    <row r="249" spans="1:14">
      <c r="A249" s="81">
        <v>45471</v>
      </c>
      <c r="B249" s="82" t="s">
        <v>317</v>
      </c>
      <c r="C249" s="82" t="s">
        <v>36</v>
      </c>
      <c r="D249" s="82" t="s">
        <v>37</v>
      </c>
      <c r="E249" s="82" t="s">
        <v>48</v>
      </c>
      <c r="F249" s="83">
        <v>7</v>
      </c>
      <c r="G249" s="84">
        <v>68.97</v>
      </c>
      <c r="H249" s="85">
        <v>0.03</v>
      </c>
      <c r="I249" s="86">
        <f t="shared" si="6"/>
        <v>468.30629999999996</v>
      </c>
      <c r="J249" s="86">
        <v>202.77</v>
      </c>
      <c r="K249" s="86">
        <f t="shared" si="7"/>
        <v>265.53629999999998</v>
      </c>
      <c r="L249" s="87" t="s">
        <v>63</v>
      </c>
      <c r="M249" s="87" t="s">
        <v>60</v>
      </c>
      <c r="N249" s="88" t="s">
        <v>78</v>
      </c>
    </row>
    <row r="250" spans="1:14">
      <c r="A250" s="81">
        <v>45472</v>
      </c>
      <c r="B250" s="82" t="s">
        <v>318</v>
      </c>
      <c r="C250" s="82" t="s">
        <v>31</v>
      </c>
      <c r="D250" s="82" t="s">
        <v>32</v>
      </c>
      <c r="E250" s="82" t="s">
        <v>42</v>
      </c>
      <c r="F250" s="83">
        <v>3</v>
      </c>
      <c r="G250" s="84">
        <v>763.52</v>
      </c>
      <c r="H250" s="85">
        <v>0</v>
      </c>
      <c r="I250" s="86">
        <f t="shared" si="6"/>
        <v>2290.56</v>
      </c>
      <c r="J250" s="86">
        <v>1397.24</v>
      </c>
      <c r="K250" s="86">
        <f t="shared" si="7"/>
        <v>893.31999999999994</v>
      </c>
      <c r="L250" s="87" t="s">
        <v>63</v>
      </c>
      <c r="M250" s="87" t="s">
        <v>60</v>
      </c>
      <c r="N250" s="88" t="s">
        <v>61</v>
      </c>
    </row>
    <row r="251" spans="1:14">
      <c r="A251" s="81">
        <v>45473</v>
      </c>
      <c r="B251" s="82" t="s">
        <v>319</v>
      </c>
      <c r="C251" s="82" t="s">
        <v>31</v>
      </c>
      <c r="D251" s="82" t="s">
        <v>37</v>
      </c>
      <c r="E251" s="82" t="s">
        <v>47</v>
      </c>
      <c r="F251" s="83">
        <v>3</v>
      </c>
      <c r="G251" s="84">
        <v>121.11</v>
      </c>
      <c r="H251" s="85">
        <v>0.08</v>
      </c>
      <c r="I251" s="86">
        <f t="shared" si="6"/>
        <v>334.2636</v>
      </c>
      <c r="J251" s="86">
        <v>167.13</v>
      </c>
      <c r="K251" s="86">
        <f t="shared" si="7"/>
        <v>167.1336</v>
      </c>
      <c r="L251" s="87" t="s">
        <v>59</v>
      </c>
      <c r="M251" s="87" t="s">
        <v>68</v>
      </c>
      <c r="N251" s="88" t="s">
        <v>69</v>
      </c>
    </row>
    <row r="252" spans="1:14">
      <c r="A252" s="81">
        <v>45474</v>
      </c>
      <c r="B252" s="82" t="s">
        <v>320</v>
      </c>
      <c r="C252" s="82" t="s">
        <v>31</v>
      </c>
      <c r="D252" s="82" t="s">
        <v>27</v>
      </c>
      <c r="E252" s="82" t="s">
        <v>30</v>
      </c>
      <c r="F252" s="83">
        <v>7</v>
      </c>
      <c r="G252" s="84">
        <v>595.79999999999995</v>
      </c>
      <c r="H252" s="85">
        <v>0.05</v>
      </c>
      <c r="I252" s="86">
        <f t="shared" si="6"/>
        <v>3962.0699999999993</v>
      </c>
      <c r="J252" s="86">
        <v>2669.18</v>
      </c>
      <c r="K252" s="86">
        <f t="shared" si="7"/>
        <v>1292.8899999999994</v>
      </c>
      <c r="L252" s="87" t="s">
        <v>63</v>
      </c>
      <c r="M252" s="87" t="s">
        <v>68</v>
      </c>
      <c r="N252" s="88" t="s">
        <v>69</v>
      </c>
    </row>
    <row r="253" spans="1:14">
      <c r="A253" s="81">
        <v>45474</v>
      </c>
      <c r="B253" s="82" t="s">
        <v>321</v>
      </c>
      <c r="C253" s="82" t="s">
        <v>36</v>
      </c>
      <c r="D253" s="82" t="s">
        <v>37</v>
      </c>
      <c r="E253" s="82" t="s">
        <v>48</v>
      </c>
      <c r="F253" s="83">
        <v>3</v>
      </c>
      <c r="G253" s="84">
        <v>69.77</v>
      </c>
      <c r="H253" s="85">
        <v>0</v>
      </c>
      <c r="I253" s="86">
        <f t="shared" si="6"/>
        <v>209.31</v>
      </c>
      <c r="J253" s="86">
        <v>87.91</v>
      </c>
      <c r="K253" s="86">
        <f t="shared" si="7"/>
        <v>121.4</v>
      </c>
      <c r="L253" s="87" t="s">
        <v>67</v>
      </c>
      <c r="M253" s="87" t="s">
        <v>64</v>
      </c>
      <c r="N253" s="88" t="s">
        <v>65</v>
      </c>
    </row>
    <row r="254" spans="1:14">
      <c r="A254" s="81">
        <v>45474</v>
      </c>
      <c r="B254" s="82" t="s">
        <v>322</v>
      </c>
      <c r="C254" s="82" t="s">
        <v>40</v>
      </c>
      <c r="D254" s="82" t="s">
        <v>32</v>
      </c>
      <c r="E254" s="82" t="s">
        <v>42</v>
      </c>
      <c r="F254" s="83">
        <v>6</v>
      </c>
      <c r="G254" s="84">
        <v>752.37</v>
      </c>
      <c r="H254" s="85">
        <v>0.05</v>
      </c>
      <c r="I254" s="86">
        <f t="shared" si="6"/>
        <v>4288.509</v>
      </c>
      <c r="J254" s="86">
        <v>2753.67</v>
      </c>
      <c r="K254" s="86">
        <f t="shared" si="7"/>
        <v>1534.8389999999999</v>
      </c>
      <c r="L254" s="87" t="s">
        <v>63</v>
      </c>
      <c r="M254" s="87" t="s">
        <v>60</v>
      </c>
      <c r="N254" s="88" t="s">
        <v>78</v>
      </c>
    </row>
    <row r="255" spans="1:14">
      <c r="A255" s="81">
        <v>45474</v>
      </c>
      <c r="B255" s="82" t="s">
        <v>323</v>
      </c>
      <c r="C255" s="82" t="s">
        <v>40</v>
      </c>
      <c r="D255" s="82" t="s">
        <v>32</v>
      </c>
      <c r="E255" s="82" t="s">
        <v>46</v>
      </c>
      <c r="F255" s="83">
        <v>5</v>
      </c>
      <c r="G255" s="84">
        <v>97.63</v>
      </c>
      <c r="H255" s="85">
        <v>0.1</v>
      </c>
      <c r="I255" s="86">
        <f t="shared" si="6"/>
        <v>439.33499999999998</v>
      </c>
      <c r="J255" s="86">
        <v>234.31</v>
      </c>
      <c r="K255" s="86">
        <f t="shared" si="7"/>
        <v>205.02499999999998</v>
      </c>
      <c r="L255" s="87" t="s">
        <v>67</v>
      </c>
      <c r="M255" s="87" t="s">
        <v>60</v>
      </c>
      <c r="N255" s="88" t="s">
        <v>71</v>
      </c>
    </row>
    <row r="256" spans="1:14">
      <c r="A256" s="81">
        <v>45475</v>
      </c>
      <c r="B256" s="82" t="s">
        <v>324</v>
      </c>
      <c r="C256" s="82" t="s">
        <v>26</v>
      </c>
      <c r="D256" s="82" t="s">
        <v>27</v>
      </c>
      <c r="E256" s="82" t="s">
        <v>35</v>
      </c>
      <c r="F256" s="83">
        <v>7</v>
      </c>
      <c r="G256" s="84">
        <v>352.15</v>
      </c>
      <c r="H256" s="85">
        <v>0.12</v>
      </c>
      <c r="I256" s="86">
        <f t="shared" si="6"/>
        <v>2169.2439999999997</v>
      </c>
      <c r="J256" s="86">
        <v>1479.03</v>
      </c>
      <c r="K256" s="86">
        <f t="shared" si="7"/>
        <v>690.21399999999971</v>
      </c>
      <c r="L256" s="87" t="s">
        <v>63</v>
      </c>
      <c r="M256" s="87" t="s">
        <v>64</v>
      </c>
      <c r="N256" s="88" t="s">
        <v>65</v>
      </c>
    </row>
    <row r="257" spans="1:14">
      <c r="A257" s="81">
        <v>45475</v>
      </c>
      <c r="B257" s="82" t="s">
        <v>325</v>
      </c>
      <c r="C257" s="82" t="s">
        <v>31</v>
      </c>
      <c r="D257" s="82" t="s">
        <v>37</v>
      </c>
      <c r="E257" s="82" t="s">
        <v>47</v>
      </c>
      <c r="F257" s="83">
        <v>5</v>
      </c>
      <c r="G257" s="84">
        <v>122.84</v>
      </c>
      <c r="H257" s="85">
        <v>0.12</v>
      </c>
      <c r="I257" s="86">
        <f t="shared" si="6"/>
        <v>540.49600000000009</v>
      </c>
      <c r="J257" s="86">
        <v>282.52999999999997</v>
      </c>
      <c r="K257" s="86">
        <f t="shared" si="7"/>
        <v>257.96600000000012</v>
      </c>
      <c r="L257" s="87" t="s">
        <v>67</v>
      </c>
      <c r="M257" s="87" t="s">
        <v>68</v>
      </c>
      <c r="N257" s="88" t="s">
        <v>69</v>
      </c>
    </row>
    <row r="258" spans="1:14">
      <c r="A258" s="81">
        <v>45475</v>
      </c>
      <c r="B258" s="82" t="s">
        <v>326</v>
      </c>
      <c r="C258" s="82" t="s">
        <v>40</v>
      </c>
      <c r="D258" s="82" t="s">
        <v>27</v>
      </c>
      <c r="E258" s="82" t="s">
        <v>30</v>
      </c>
      <c r="F258" s="83">
        <v>5</v>
      </c>
      <c r="G258" s="84">
        <v>647.61</v>
      </c>
      <c r="H258" s="85">
        <v>0.12</v>
      </c>
      <c r="I258" s="86">
        <f t="shared" ref="I258:I321" si="8">F258*G258*(1-H258)</f>
        <v>2849.4840000000004</v>
      </c>
      <c r="J258" s="86">
        <v>2072.35</v>
      </c>
      <c r="K258" s="86">
        <f t="shared" ref="K258:K321" si="9">I258-J258</f>
        <v>777.13400000000047</v>
      </c>
      <c r="L258" s="87" t="s">
        <v>67</v>
      </c>
      <c r="M258" s="87" t="s">
        <v>68</v>
      </c>
      <c r="N258" s="88" t="s">
        <v>71</v>
      </c>
    </row>
    <row r="259" spans="1:14">
      <c r="A259" s="81">
        <v>45476</v>
      </c>
      <c r="B259" s="82" t="s">
        <v>327</v>
      </c>
      <c r="C259" s="82" t="s">
        <v>36</v>
      </c>
      <c r="D259" s="82" t="s">
        <v>27</v>
      </c>
      <c r="E259" s="82" t="s">
        <v>30</v>
      </c>
      <c r="F259" s="83">
        <v>11</v>
      </c>
      <c r="G259" s="84">
        <v>634.41999999999996</v>
      </c>
      <c r="H259" s="85">
        <v>0</v>
      </c>
      <c r="I259" s="86">
        <f t="shared" si="8"/>
        <v>6978.62</v>
      </c>
      <c r="J259" s="86">
        <v>4466.32</v>
      </c>
      <c r="K259" s="86">
        <f t="shared" si="9"/>
        <v>2512.3000000000002</v>
      </c>
      <c r="L259" s="87" t="s">
        <v>63</v>
      </c>
      <c r="M259" s="87" t="s">
        <v>68</v>
      </c>
      <c r="N259" s="88" t="s">
        <v>65</v>
      </c>
    </row>
    <row r="260" spans="1:14">
      <c r="A260" s="81">
        <v>45476</v>
      </c>
      <c r="B260" s="82" t="s">
        <v>328</v>
      </c>
      <c r="C260" s="82" t="s">
        <v>40</v>
      </c>
      <c r="D260" s="82" t="s">
        <v>27</v>
      </c>
      <c r="E260" s="82" t="s">
        <v>35</v>
      </c>
      <c r="F260" s="83">
        <v>8</v>
      </c>
      <c r="G260" s="84">
        <v>374.04</v>
      </c>
      <c r="H260" s="85">
        <v>0.12</v>
      </c>
      <c r="I260" s="86">
        <f t="shared" si="8"/>
        <v>2633.2416000000003</v>
      </c>
      <c r="J260" s="86">
        <v>1795.39</v>
      </c>
      <c r="K260" s="86">
        <f t="shared" si="9"/>
        <v>837.85160000000019</v>
      </c>
      <c r="L260" s="87" t="s">
        <v>63</v>
      </c>
      <c r="M260" s="87" t="s">
        <v>64</v>
      </c>
      <c r="N260" s="88" t="s">
        <v>71</v>
      </c>
    </row>
    <row r="261" spans="1:14">
      <c r="A261" s="81">
        <v>45476</v>
      </c>
      <c r="B261" s="82" t="s">
        <v>329</v>
      </c>
      <c r="C261" s="82" t="s">
        <v>40</v>
      </c>
      <c r="D261" s="82" t="s">
        <v>37</v>
      </c>
      <c r="E261" s="82" t="s">
        <v>48</v>
      </c>
      <c r="F261" s="83">
        <v>3</v>
      </c>
      <c r="G261" s="84">
        <v>68.790000000000006</v>
      </c>
      <c r="H261" s="85">
        <v>0.03</v>
      </c>
      <c r="I261" s="86">
        <f t="shared" si="8"/>
        <v>200.1789</v>
      </c>
      <c r="J261" s="86">
        <v>86.68</v>
      </c>
      <c r="K261" s="86">
        <f t="shared" si="9"/>
        <v>113.49889999999999</v>
      </c>
      <c r="L261" s="87" t="s">
        <v>59</v>
      </c>
      <c r="M261" s="87" t="s">
        <v>68</v>
      </c>
      <c r="N261" s="88" t="s">
        <v>71</v>
      </c>
    </row>
    <row r="262" spans="1:14">
      <c r="A262" s="81">
        <v>45477</v>
      </c>
      <c r="B262" s="82" t="s">
        <v>330</v>
      </c>
      <c r="C262" s="82" t="s">
        <v>31</v>
      </c>
      <c r="D262" s="82" t="s">
        <v>27</v>
      </c>
      <c r="E262" s="82" t="s">
        <v>30</v>
      </c>
      <c r="F262" s="83">
        <v>6</v>
      </c>
      <c r="G262" s="84">
        <v>645.25</v>
      </c>
      <c r="H262" s="85">
        <v>0.03</v>
      </c>
      <c r="I262" s="86">
        <f t="shared" si="8"/>
        <v>3755.355</v>
      </c>
      <c r="J262" s="86">
        <v>2477.7600000000002</v>
      </c>
      <c r="K262" s="86">
        <f t="shared" si="9"/>
        <v>1277.5949999999998</v>
      </c>
      <c r="L262" s="87" t="s">
        <v>67</v>
      </c>
      <c r="M262" s="87" t="s">
        <v>64</v>
      </c>
      <c r="N262" s="88" t="s">
        <v>65</v>
      </c>
    </row>
    <row r="263" spans="1:14">
      <c r="A263" s="81">
        <v>45477</v>
      </c>
      <c r="B263" s="82" t="s">
        <v>331</v>
      </c>
      <c r="C263" s="82" t="s">
        <v>40</v>
      </c>
      <c r="D263" s="82" t="s">
        <v>27</v>
      </c>
      <c r="E263" s="82" t="s">
        <v>30</v>
      </c>
      <c r="F263" s="83">
        <v>3</v>
      </c>
      <c r="G263" s="84">
        <v>614.96</v>
      </c>
      <c r="H263" s="85">
        <v>0.03</v>
      </c>
      <c r="I263" s="86">
        <f t="shared" si="8"/>
        <v>1789.5336</v>
      </c>
      <c r="J263" s="86">
        <v>1180.72</v>
      </c>
      <c r="K263" s="86">
        <f t="shared" si="9"/>
        <v>608.81359999999995</v>
      </c>
      <c r="L263" s="87" t="s">
        <v>59</v>
      </c>
      <c r="M263" s="87" t="s">
        <v>60</v>
      </c>
      <c r="N263" s="88" t="s">
        <v>71</v>
      </c>
    </row>
    <row r="264" spans="1:14">
      <c r="A264" s="81">
        <v>45477</v>
      </c>
      <c r="B264" s="82" t="s">
        <v>332</v>
      </c>
      <c r="C264" s="82" t="s">
        <v>40</v>
      </c>
      <c r="D264" s="82" t="s">
        <v>32</v>
      </c>
      <c r="E264" s="82" t="s">
        <v>39</v>
      </c>
      <c r="F264" s="83">
        <v>2</v>
      </c>
      <c r="G264" s="84">
        <v>420.98</v>
      </c>
      <c r="H264" s="85">
        <v>0.05</v>
      </c>
      <c r="I264" s="86">
        <f t="shared" si="8"/>
        <v>799.86199999999997</v>
      </c>
      <c r="J264" s="86">
        <v>479.92</v>
      </c>
      <c r="K264" s="86">
        <f t="shared" si="9"/>
        <v>319.94199999999995</v>
      </c>
      <c r="L264" s="87" t="s">
        <v>67</v>
      </c>
      <c r="M264" s="87" t="s">
        <v>64</v>
      </c>
      <c r="N264" s="88" t="s">
        <v>65</v>
      </c>
    </row>
    <row r="265" spans="1:14">
      <c r="A265" s="81">
        <v>45478</v>
      </c>
      <c r="B265" s="82" t="s">
        <v>333</v>
      </c>
      <c r="C265" s="82" t="s">
        <v>40</v>
      </c>
      <c r="D265" s="82" t="s">
        <v>27</v>
      </c>
      <c r="E265" s="82" t="s">
        <v>30</v>
      </c>
      <c r="F265" s="83">
        <v>5</v>
      </c>
      <c r="G265" s="84">
        <v>615.47</v>
      </c>
      <c r="H265" s="85">
        <v>0.12</v>
      </c>
      <c r="I265" s="86">
        <f t="shared" si="8"/>
        <v>2708.0680000000002</v>
      </c>
      <c r="J265" s="86">
        <v>1969.5</v>
      </c>
      <c r="K265" s="86">
        <f t="shared" si="9"/>
        <v>738.56800000000021</v>
      </c>
      <c r="L265" s="87" t="s">
        <v>63</v>
      </c>
      <c r="M265" s="87" t="s">
        <v>68</v>
      </c>
      <c r="N265" s="88" t="s">
        <v>74</v>
      </c>
    </row>
    <row r="266" spans="1:14">
      <c r="A266" s="81">
        <v>45481</v>
      </c>
      <c r="B266" s="82" t="s">
        <v>334</v>
      </c>
      <c r="C266" s="82" t="s">
        <v>31</v>
      </c>
      <c r="D266" s="82" t="s">
        <v>27</v>
      </c>
      <c r="E266" s="82" t="s">
        <v>25</v>
      </c>
      <c r="F266" s="83">
        <v>8</v>
      </c>
      <c r="G266" s="84">
        <v>1247.26</v>
      </c>
      <c r="H266" s="85">
        <v>0.08</v>
      </c>
      <c r="I266" s="86">
        <f t="shared" si="8"/>
        <v>9179.8335999999999</v>
      </c>
      <c r="J266" s="86">
        <v>6785.09</v>
      </c>
      <c r="K266" s="86">
        <f t="shared" si="9"/>
        <v>2394.7435999999998</v>
      </c>
      <c r="L266" s="87" t="s">
        <v>67</v>
      </c>
      <c r="M266" s="87" t="s">
        <v>60</v>
      </c>
      <c r="N266" s="88" t="s">
        <v>61</v>
      </c>
    </row>
    <row r="267" spans="1:14">
      <c r="A267" s="81">
        <v>45483</v>
      </c>
      <c r="B267" s="82" t="s">
        <v>335</v>
      </c>
      <c r="C267" s="82" t="s">
        <v>31</v>
      </c>
      <c r="D267" s="82" t="s">
        <v>37</v>
      </c>
      <c r="E267" s="82" t="s">
        <v>47</v>
      </c>
      <c r="F267" s="83">
        <v>1</v>
      </c>
      <c r="G267" s="84">
        <v>126.9</v>
      </c>
      <c r="H267" s="85">
        <v>0.03</v>
      </c>
      <c r="I267" s="86">
        <f t="shared" si="8"/>
        <v>123.093</v>
      </c>
      <c r="J267" s="86">
        <v>58.37</v>
      </c>
      <c r="K267" s="86">
        <f t="shared" si="9"/>
        <v>64.723000000000013</v>
      </c>
      <c r="L267" s="87" t="s">
        <v>63</v>
      </c>
      <c r="M267" s="87" t="s">
        <v>64</v>
      </c>
      <c r="N267" s="88" t="s">
        <v>65</v>
      </c>
    </row>
    <row r="268" spans="1:14">
      <c r="A268" s="81">
        <v>45483</v>
      </c>
      <c r="B268" s="82" t="s">
        <v>336</v>
      </c>
      <c r="C268" s="82" t="s">
        <v>31</v>
      </c>
      <c r="D268" s="82" t="s">
        <v>27</v>
      </c>
      <c r="E268" s="82" t="s">
        <v>30</v>
      </c>
      <c r="F268" s="83">
        <v>3</v>
      </c>
      <c r="G268" s="84">
        <v>634.26</v>
      </c>
      <c r="H268" s="85">
        <v>0</v>
      </c>
      <c r="I268" s="86">
        <f t="shared" si="8"/>
        <v>1902.78</v>
      </c>
      <c r="J268" s="86">
        <v>1217.78</v>
      </c>
      <c r="K268" s="86">
        <f t="shared" si="9"/>
        <v>685</v>
      </c>
      <c r="L268" s="87" t="s">
        <v>67</v>
      </c>
      <c r="M268" s="87" t="s">
        <v>60</v>
      </c>
      <c r="N268" s="88" t="s">
        <v>61</v>
      </c>
    </row>
    <row r="269" spans="1:14">
      <c r="A269" s="81">
        <v>45483</v>
      </c>
      <c r="B269" s="82" t="s">
        <v>337</v>
      </c>
      <c r="C269" s="82" t="s">
        <v>36</v>
      </c>
      <c r="D269" s="82" t="s">
        <v>32</v>
      </c>
      <c r="E269" s="82" t="s">
        <v>42</v>
      </c>
      <c r="F269" s="83">
        <v>13</v>
      </c>
      <c r="G269" s="84">
        <v>785.27</v>
      </c>
      <c r="H269" s="85">
        <v>0.12</v>
      </c>
      <c r="I269" s="86">
        <f t="shared" si="8"/>
        <v>8983.488800000001</v>
      </c>
      <c r="J269" s="86">
        <v>6227.19</v>
      </c>
      <c r="K269" s="86">
        <f t="shared" si="9"/>
        <v>2756.2988000000014</v>
      </c>
      <c r="L269" s="87" t="s">
        <v>59</v>
      </c>
      <c r="M269" s="87" t="s">
        <v>68</v>
      </c>
      <c r="N269" s="88" t="s">
        <v>71</v>
      </c>
    </row>
    <row r="270" spans="1:14">
      <c r="A270" s="81">
        <v>45484</v>
      </c>
      <c r="B270" s="82" t="s">
        <v>338</v>
      </c>
      <c r="C270" s="82" t="s">
        <v>36</v>
      </c>
      <c r="D270" s="82" t="s">
        <v>27</v>
      </c>
      <c r="E270" s="82" t="s">
        <v>35</v>
      </c>
      <c r="F270" s="83">
        <v>4</v>
      </c>
      <c r="G270" s="84">
        <v>351.01</v>
      </c>
      <c r="H270" s="85">
        <v>0</v>
      </c>
      <c r="I270" s="86">
        <f t="shared" si="8"/>
        <v>1404.04</v>
      </c>
      <c r="J270" s="86">
        <v>842.42</v>
      </c>
      <c r="K270" s="86">
        <f t="shared" si="9"/>
        <v>561.62</v>
      </c>
      <c r="L270" s="87" t="s">
        <v>59</v>
      </c>
      <c r="M270" s="87" t="s">
        <v>60</v>
      </c>
      <c r="N270" s="88" t="s">
        <v>69</v>
      </c>
    </row>
    <row r="271" spans="1:14">
      <c r="A271" s="81">
        <v>45484</v>
      </c>
      <c r="B271" s="82" t="s">
        <v>339</v>
      </c>
      <c r="C271" s="82" t="s">
        <v>26</v>
      </c>
      <c r="D271" s="82" t="s">
        <v>27</v>
      </c>
      <c r="E271" s="82" t="s">
        <v>30</v>
      </c>
      <c r="F271" s="83">
        <v>10</v>
      </c>
      <c r="G271" s="84">
        <v>606.08000000000004</v>
      </c>
      <c r="H271" s="85">
        <v>0.12</v>
      </c>
      <c r="I271" s="86">
        <f t="shared" si="8"/>
        <v>5333.5039999999999</v>
      </c>
      <c r="J271" s="86">
        <v>3878.91</v>
      </c>
      <c r="K271" s="86">
        <f t="shared" si="9"/>
        <v>1454.5940000000001</v>
      </c>
      <c r="L271" s="87" t="s">
        <v>67</v>
      </c>
      <c r="M271" s="87" t="s">
        <v>68</v>
      </c>
      <c r="N271" s="88" t="s">
        <v>74</v>
      </c>
    </row>
    <row r="272" spans="1:14">
      <c r="A272" s="81">
        <v>45484</v>
      </c>
      <c r="B272" s="82" t="s">
        <v>340</v>
      </c>
      <c r="C272" s="82" t="s">
        <v>40</v>
      </c>
      <c r="D272" s="82" t="s">
        <v>27</v>
      </c>
      <c r="E272" s="82" t="s">
        <v>30</v>
      </c>
      <c r="F272" s="83">
        <v>3</v>
      </c>
      <c r="G272" s="84">
        <v>597.38</v>
      </c>
      <c r="H272" s="85">
        <v>0.12</v>
      </c>
      <c r="I272" s="86">
        <f t="shared" si="8"/>
        <v>1577.0831999999998</v>
      </c>
      <c r="J272" s="86">
        <v>1146.97</v>
      </c>
      <c r="K272" s="86">
        <f t="shared" si="9"/>
        <v>430.11319999999978</v>
      </c>
      <c r="L272" s="87" t="s">
        <v>67</v>
      </c>
      <c r="M272" s="87" t="s">
        <v>68</v>
      </c>
      <c r="N272" s="88" t="s">
        <v>71</v>
      </c>
    </row>
    <row r="273" spans="1:14">
      <c r="A273" s="81">
        <v>45485</v>
      </c>
      <c r="B273" s="82" t="s">
        <v>341</v>
      </c>
      <c r="C273" s="82" t="s">
        <v>36</v>
      </c>
      <c r="D273" s="82" t="s">
        <v>32</v>
      </c>
      <c r="E273" s="82" t="s">
        <v>42</v>
      </c>
      <c r="F273" s="83">
        <v>9</v>
      </c>
      <c r="G273" s="84">
        <v>731.72</v>
      </c>
      <c r="H273" s="85">
        <v>0.03</v>
      </c>
      <c r="I273" s="86">
        <f t="shared" si="8"/>
        <v>6387.9156000000003</v>
      </c>
      <c r="J273" s="86">
        <v>4017.14</v>
      </c>
      <c r="K273" s="86">
        <f t="shared" si="9"/>
        <v>2370.7756000000004</v>
      </c>
      <c r="L273" s="87" t="s">
        <v>67</v>
      </c>
      <c r="M273" s="87" t="s">
        <v>64</v>
      </c>
      <c r="N273" s="88" t="s">
        <v>71</v>
      </c>
    </row>
    <row r="274" spans="1:14">
      <c r="A274" s="81">
        <v>45485</v>
      </c>
      <c r="B274" s="82" t="s">
        <v>342</v>
      </c>
      <c r="C274" s="82" t="s">
        <v>31</v>
      </c>
      <c r="D274" s="82" t="s">
        <v>32</v>
      </c>
      <c r="E274" s="82" t="s">
        <v>39</v>
      </c>
      <c r="F274" s="83">
        <v>8</v>
      </c>
      <c r="G274" s="84">
        <v>451.2</v>
      </c>
      <c r="H274" s="85">
        <v>0.1</v>
      </c>
      <c r="I274" s="86">
        <f t="shared" si="8"/>
        <v>3248.64</v>
      </c>
      <c r="J274" s="86">
        <v>2057.4699999999998</v>
      </c>
      <c r="K274" s="86">
        <f t="shared" si="9"/>
        <v>1191.17</v>
      </c>
      <c r="L274" s="87" t="s">
        <v>67</v>
      </c>
      <c r="M274" s="87" t="s">
        <v>64</v>
      </c>
      <c r="N274" s="88" t="s">
        <v>65</v>
      </c>
    </row>
    <row r="275" spans="1:14">
      <c r="A275" s="81">
        <v>45486</v>
      </c>
      <c r="B275" s="82" t="s">
        <v>343</v>
      </c>
      <c r="C275" s="82" t="s">
        <v>36</v>
      </c>
      <c r="D275" s="82" t="s">
        <v>27</v>
      </c>
      <c r="E275" s="82" t="s">
        <v>30</v>
      </c>
      <c r="F275" s="83">
        <v>4</v>
      </c>
      <c r="G275" s="84">
        <v>629.29</v>
      </c>
      <c r="H275" s="85">
        <v>0.05</v>
      </c>
      <c r="I275" s="86">
        <f t="shared" si="8"/>
        <v>2391.3019999999997</v>
      </c>
      <c r="J275" s="86">
        <v>1610.98</v>
      </c>
      <c r="K275" s="86">
        <f t="shared" si="9"/>
        <v>780.32199999999966</v>
      </c>
      <c r="L275" s="87" t="s">
        <v>59</v>
      </c>
      <c r="M275" s="87" t="s">
        <v>64</v>
      </c>
      <c r="N275" s="88" t="s">
        <v>69</v>
      </c>
    </row>
    <row r="276" spans="1:14">
      <c r="A276" s="81">
        <v>45487</v>
      </c>
      <c r="B276" s="82" t="s">
        <v>344</v>
      </c>
      <c r="C276" s="82" t="s">
        <v>26</v>
      </c>
      <c r="D276" s="82" t="s">
        <v>32</v>
      </c>
      <c r="E276" s="82" t="s">
        <v>39</v>
      </c>
      <c r="F276" s="83">
        <v>4</v>
      </c>
      <c r="G276" s="84">
        <v>427.94</v>
      </c>
      <c r="H276" s="85">
        <v>0.05</v>
      </c>
      <c r="I276" s="86">
        <f t="shared" si="8"/>
        <v>1626.172</v>
      </c>
      <c r="J276" s="86">
        <v>975.7</v>
      </c>
      <c r="K276" s="86">
        <f t="shared" si="9"/>
        <v>650.47199999999998</v>
      </c>
      <c r="L276" s="87" t="s">
        <v>59</v>
      </c>
      <c r="M276" s="87" t="s">
        <v>60</v>
      </c>
      <c r="N276" s="88" t="s">
        <v>78</v>
      </c>
    </row>
    <row r="277" spans="1:14">
      <c r="A277" s="81">
        <v>45487</v>
      </c>
      <c r="B277" s="82" t="s">
        <v>345</v>
      </c>
      <c r="C277" s="82" t="s">
        <v>31</v>
      </c>
      <c r="D277" s="82" t="s">
        <v>27</v>
      </c>
      <c r="E277" s="82" t="s">
        <v>25</v>
      </c>
      <c r="F277" s="83">
        <v>2</v>
      </c>
      <c r="G277" s="84">
        <v>1246.4100000000001</v>
      </c>
      <c r="H277" s="85">
        <v>0.12</v>
      </c>
      <c r="I277" s="86">
        <f t="shared" si="8"/>
        <v>2193.6816000000003</v>
      </c>
      <c r="J277" s="86">
        <v>1695.12</v>
      </c>
      <c r="K277" s="86">
        <f t="shared" si="9"/>
        <v>498.56160000000045</v>
      </c>
      <c r="L277" s="87" t="s">
        <v>59</v>
      </c>
      <c r="M277" s="87" t="s">
        <v>68</v>
      </c>
      <c r="N277" s="88" t="s">
        <v>78</v>
      </c>
    </row>
    <row r="278" spans="1:14">
      <c r="A278" s="81">
        <v>45488</v>
      </c>
      <c r="B278" s="82" t="s">
        <v>346</v>
      </c>
      <c r="C278" s="82" t="s">
        <v>26</v>
      </c>
      <c r="D278" s="82" t="s">
        <v>27</v>
      </c>
      <c r="E278" s="82" t="s">
        <v>25</v>
      </c>
      <c r="F278" s="83">
        <v>3</v>
      </c>
      <c r="G278" s="84">
        <v>1194.82</v>
      </c>
      <c r="H278" s="85">
        <v>0.12</v>
      </c>
      <c r="I278" s="86">
        <f t="shared" si="8"/>
        <v>3154.3247999999999</v>
      </c>
      <c r="J278" s="86">
        <v>2437.4299999999998</v>
      </c>
      <c r="K278" s="86">
        <f t="shared" si="9"/>
        <v>716.89480000000003</v>
      </c>
      <c r="L278" s="87" t="s">
        <v>59</v>
      </c>
      <c r="M278" s="87" t="s">
        <v>68</v>
      </c>
      <c r="N278" s="88" t="s">
        <v>74</v>
      </c>
    </row>
    <row r="279" spans="1:14">
      <c r="A279" s="81">
        <v>45488</v>
      </c>
      <c r="B279" s="82" t="s">
        <v>347</v>
      </c>
      <c r="C279" s="82" t="s">
        <v>26</v>
      </c>
      <c r="D279" s="82" t="s">
        <v>27</v>
      </c>
      <c r="E279" s="82" t="s">
        <v>30</v>
      </c>
      <c r="F279" s="83">
        <v>7</v>
      </c>
      <c r="G279" s="84">
        <v>604.05999999999995</v>
      </c>
      <c r="H279" s="85">
        <v>0.1</v>
      </c>
      <c r="I279" s="86">
        <f t="shared" si="8"/>
        <v>3805.578</v>
      </c>
      <c r="J279" s="86">
        <v>2706.19</v>
      </c>
      <c r="K279" s="86">
        <f t="shared" si="9"/>
        <v>1099.3879999999999</v>
      </c>
      <c r="L279" s="87" t="s">
        <v>63</v>
      </c>
      <c r="M279" s="87" t="s">
        <v>60</v>
      </c>
      <c r="N279" s="88" t="s">
        <v>71</v>
      </c>
    </row>
    <row r="280" spans="1:14">
      <c r="A280" s="81">
        <v>45488</v>
      </c>
      <c r="B280" s="82" t="s">
        <v>348</v>
      </c>
      <c r="C280" s="82" t="s">
        <v>31</v>
      </c>
      <c r="D280" s="82" t="s">
        <v>27</v>
      </c>
      <c r="E280" s="82" t="s">
        <v>30</v>
      </c>
      <c r="F280" s="83">
        <v>3</v>
      </c>
      <c r="G280" s="84">
        <v>645.74</v>
      </c>
      <c r="H280" s="85">
        <v>0.1</v>
      </c>
      <c r="I280" s="86">
        <f t="shared" si="8"/>
        <v>1743.498</v>
      </c>
      <c r="J280" s="86">
        <v>1239.82</v>
      </c>
      <c r="K280" s="86">
        <f t="shared" si="9"/>
        <v>503.67800000000011</v>
      </c>
      <c r="L280" s="87" t="s">
        <v>63</v>
      </c>
      <c r="M280" s="87" t="s">
        <v>60</v>
      </c>
      <c r="N280" s="88" t="s">
        <v>71</v>
      </c>
    </row>
    <row r="281" spans="1:14">
      <c r="A281" s="81">
        <v>45488</v>
      </c>
      <c r="B281" s="82" t="s">
        <v>349</v>
      </c>
      <c r="C281" s="82" t="s">
        <v>40</v>
      </c>
      <c r="D281" s="82" t="s">
        <v>27</v>
      </c>
      <c r="E281" s="82" t="s">
        <v>30</v>
      </c>
      <c r="F281" s="83">
        <v>1</v>
      </c>
      <c r="G281" s="84">
        <v>598.13</v>
      </c>
      <c r="H281" s="85">
        <v>0.03</v>
      </c>
      <c r="I281" s="86">
        <f t="shared" si="8"/>
        <v>580.18610000000001</v>
      </c>
      <c r="J281" s="86">
        <v>382.8</v>
      </c>
      <c r="K281" s="86">
        <f t="shared" si="9"/>
        <v>197.3861</v>
      </c>
      <c r="L281" s="87" t="s">
        <v>59</v>
      </c>
      <c r="M281" s="87" t="s">
        <v>64</v>
      </c>
      <c r="N281" s="88" t="s">
        <v>69</v>
      </c>
    </row>
    <row r="282" spans="1:14">
      <c r="A282" s="81">
        <v>45489</v>
      </c>
      <c r="B282" s="82" t="s">
        <v>350</v>
      </c>
      <c r="C282" s="82" t="s">
        <v>40</v>
      </c>
      <c r="D282" s="82" t="s">
        <v>27</v>
      </c>
      <c r="E282" s="82" t="s">
        <v>35</v>
      </c>
      <c r="F282" s="83">
        <v>3</v>
      </c>
      <c r="G282" s="84">
        <v>353.27</v>
      </c>
      <c r="H282" s="85">
        <v>0.03</v>
      </c>
      <c r="I282" s="86">
        <f t="shared" si="8"/>
        <v>1028.0156999999999</v>
      </c>
      <c r="J282" s="86">
        <v>635.89</v>
      </c>
      <c r="K282" s="86">
        <f t="shared" si="9"/>
        <v>392.12569999999994</v>
      </c>
      <c r="L282" s="87" t="s">
        <v>59</v>
      </c>
      <c r="M282" s="87" t="s">
        <v>60</v>
      </c>
      <c r="N282" s="88" t="s">
        <v>71</v>
      </c>
    </row>
    <row r="283" spans="1:14">
      <c r="A283" s="81">
        <v>45490</v>
      </c>
      <c r="B283" s="82" t="s">
        <v>351</v>
      </c>
      <c r="C283" s="82" t="s">
        <v>40</v>
      </c>
      <c r="D283" s="82" t="s">
        <v>27</v>
      </c>
      <c r="E283" s="82" t="s">
        <v>30</v>
      </c>
      <c r="F283" s="83">
        <v>13</v>
      </c>
      <c r="G283" s="84">
        <v>656.3</v>
      </c>
      <c r="H283" s="85">
        <v>0.08</v>
      </c>
      <c r="I283" s="86">
        <f t="shared" si="8"/>
        <v>7849.348</v>
      </c>
      <c r="J283" s="86">
        <v>5460.42</v>
      </c>
      <c r="K283" s="86">
        <f t="shared" si="9"/>
        <v>2388.9279999999999</v>
      </c>
      <c r="L283" s="87" t="s">
        <v>67</v>
      </c>
      <c r="M283" s="87" t="s">
        <v>68</v>
      </c>
      <c r="N283" s="88" t="s">
        <v>74</v>
      </c>
    </row>
    <row r="284" spans="1:14">
      <c r="A284" s="81">
        <v>45492</v>
      </c>
      <c r="B284" s="82" t="s">
        <v>352</v>
      </c>
      <c r="C284" s="82" t="s">
        <v>36</v>
      </c>
      <c r="D284" s="82" t="s">
        <v>27</v>
      </c>
      <c r="E284" s="82" t="s">
        <v>30</v>
      </c>
      <c r="F284" s="83">
        <v>4</v>
      </c>
      <c r="G284" s="84">
        <v>624.79999999999995</v>
      </c>
      <c r="H284" s="85">
        <v>0.03</v>
      </c>
      <c r="I284" s="86">
        <f t="shared" si="8"/>
        <v>2424.2239999999997</v>
      </c>
      <c r="J284" s="86">
        <v>1599.49</v>
      </c>
      <c r="K284" s="86">
        <f t="shared" si="9"/>
        <v>824.7339999999997</v>
      </c>
      <c r="L284" s="87" t="s">
        <v>67</v>
      </c>
      <c r="M284" s="87" t="s">
        <v>64</v>
      </c>
      <c r="N284" s="88" t="s">
        <v>71</v>
      </c>
    </row>
    <row r="285" spans="1:14">
      <c r="A285" s="81">
        <v>45492</v>
      </c>
      <c r="B285" s="82" t="s">
        <v>353</v>
      </c>
      <c r="C285" s="82" t="s">
        <v>40</v>
      </c>
      <c r="D285" s="82" t="s">
        <v>32</v>
      </c>
      <c r="E285" s="82" t="s">
        <v>46</v>
      </c>
      <c r="F285" s="83">
        <v>8</v>
      </c>
      <c r="G285" s="84">
        <v>99.48</v>
      </c>
      <c r="H285" s="85">
        <v>0.03</v>
      </c>
      <c r="I285" s="86">
        <f t="shared" si="8"/>
        <v>771.96479999999997</v>
      </c>
      <c r="J285" s="86">
        <v>382</v>
      </c>
      <c r="K285" s="86">
        <f t="shared" si="9"/>
        <v>389.96479999999997</v>
      </c>
      <c r="L285" s="87" t="s">
        <v>67</v>
      </c>
      <c r="M285" s="87" t="s">
        <v>64</v>
      </c>
      <c r="N285" s="88" t="s">
        <v>69</v>
      </c>
    </row>
    <row r="286" spans="1:14">
      <c r="A286" s="81">
        <v>45492</v>
      </c>
      <c r="B286" s="82" t="s">
        <v>354</v>
      </c>
      <c r="C286" s="82" t="s">
        <v>26</v>
      </c>
      <c r="D286" s="82" t="s">
        <v>32</v>
      </c>
      <c r="E286" s="82" t="s">
        <v>46</v>
      </c>
      <c r="F286" s="83">
        <v>7</v>
      </c>
      <c r="G286" s="84">
        <v>94.55</v>
      </c>
      <c r="H286" s="85">
        <v>0</v>
      </c>
      <c r="I286" s="86">
        <f t="shared" si="8"/>
        <v>661.85</v>
      </c>
      <c r="J286" s="86">
        <v>317.69</v>
      </c>
      <c r="K286" s="86">
        <f t="shared" si="9"/>
        <v>344.16</v>
      </c>
      <c r="L286" s="87" t="s">
        <v>59</v>
      </c>
      <c r="M286" s="87" t="s">
        <v>60</v>
      </c>
      <c r="N286" s="88" t="s">
        <v>69</v>
      </c>
    </row>
    <row r="287" spans="1:14">
      <c r="A287" s="81">
        <v>45493</v>
      </c>
      <c r="B287" s="82" t="s">
        <v>355</v>
      </c>
      <c r="C287" s="82" t="s">
        <v>26</v>
      </c>
      <c r="D287" s="82" t="s">
        <v>32</v>
      </c>
      <c r="E287" s="82" t="s">
        <v>46</v>
      </c>
      <c r="F287" s="83">
        <v>6</v>
      </c>
      <c r="G287" s="84">
        <v>99.81</v>
      </c>
      <c r="H287" s="85">
        <v>0.08</v>
      </c>
      <c r="I287" s="86">
        <f t="shared" si="8"/>
        <v>550.95120000000009</v>
      </c>
      <c r="J287" s="86">
        <v>287.45</v>
      </c>
      <c r="K287" s="86">
        <f t="shared" si="9"/>
        <v>263.5012000000001</v>
      </c>
      <c r="L287" s="87" t="s">
        <v>67</v>
      </c>
      <c r="M287" s="87" t="s">
        <v>60</v>
      </c>
      <c r="N287" s="88" t="s">
        <v>69</v>
      </c>
    </row>
    <row r="288" spans="1:14">
      <c r="A288" s="81">
        <v>45493</v>
      </c>
      <c r="B288" s="82" t="s">
        <v>356</v>
      </c>
      <c r="C288" s="82" t="s">
        <v>40</v>
      </c>
      <c r="D288" s="82" t="s">
        <v>32</v>
      </c>
      <c r="E288" s="82" t="s">
        <v>46</v>
      </c>
      <c r="F288" s="83">
        <v>1</v>
      </c>
      <c r="G288" s="84">
        <v>99.69</v>
      </c>
      <c r="H288" s="85">
        <v>0.03</v>
      </c>
      <c r="I288" s="86">
        <f t="shared" si="8"/>
        <v>96.699299999999994</v>
      </c>
      <c r="J288" s="86">
        <v>47.85</v>
      </c>
      <c r="K288" s="86">
        <f t="shared" si="9"/>
        <v>48.849299999999992</v>
      </c>
      <c r="L288" s="87" t="s">
        <v>59</v>
      </c>
      <c r="M288" s="87" t="s">
        <v>60</v>
      </c>
      <c r="N288" s="88" t="s">
        <v>61</v>
      </c>
    </row>
    <row r="289" spans="1:14">
      <c r="A289" s="81">
        <v>45494</v>
      </c>
      <c r="B289" s="82" t="s">
        <v>357</v>
      </c>
      <c r="C289" s="82" t="s">
        <v>26</v>
      </c>
      <c r="D289" s="82" t="s">
        <v>37</v>
      </c>
      <c r="E289" s="82" t="s">
        <v>47</v>
      </c>
      <c r="F289" s="83">
        <v>12</v>
      </c>
      <c r="G289" s="84">
        <v>126.29</v>
      </c>
      <c r="H289" s="85">
        <v>0.08</v>
      </c>
      <c r="I289" s="86">
        <f t="shared" si="8"/>
        <v>1394.2416000000001</v>
      </c>
      <c r="J289" s="86">
        <v>697.12</v>
      </c>
      <c r="K289" s="86">
        <f t="shared" si="9"/>
        <v>697.12160000000006</v>
      </c>
      <c r="L289" s="87" t="s">
        <v>67</v>
      </c>
      <c r="M289" s="87" t="s">
        <v>68</v>
      </c>
      <c r="N289" s="88" t="s">
        <v>65</v>
      </c>
    </row>
    <row r="290" spans="1:14">
      <c r="A290" s="81">
        <v>45495</v>
      </c>
      <c r="B290" s="82" t="s">
        <v>358</v>
      </c>
      <c r="C290" s="82" t="s">
        <v>26</v>
      </c>
      <c r="D290" s="82" t="s">
        <v>37</v>
      </c>
      <c r="E290" s="82" t="s">
        <v>48</v>
      </c>
      <c r="F290" s="83">
        <v>8</v>
      </c>
      <c r="G290" s="84">
        <v>69.19</v>
      </c>
      <c r="H290" s="85">
        <v>0.08</v>
      </c>
      <c r="I290" s="86">
        <f t="shared" si="8"/>
        <v>509.23840000000001</v>
      </c>
      <c r="J290" s="86">
        <v>232.48</v>
      </c>
      <c r="K290" s="86">
        <f t="shared" si="9"/>
        <v>276.75840000000005</v>
      </c>
      <c r="L290" s="87" t="s">
        <v>63</v>
      </c>
      <c r="M290" s="87" t="s">
        <v>64</v>
      </c>
      <c r="N290" s="88" t="s">
        <v>65</v>
      </c>
    </row>
    <row r="291" spans="1:14">
      <c r="A291" s="81">
        <v>45495</v>
      </c>
      <c r="B291" s="82" t="s">
        <v>359</v>
      </c>
      <c r="C291" s="82" t="s">
        <v>40</v>
      </c>
      <c r="D291" s="82" t="s">
        <v>32</v>
      </c>
      <c r="E291" s="82" t="s">
        <v>46</v>
      </c>
      <c r="F291" s="83">
        <v>13</v>
      </c>
      <c r="G291" s="84">
        <v>93.45</v>
      </c>
      <c r="H291" s="85">
        <v>0</v>
      </c>
      <c r="I291" s="86">
        <f t="shared" si="8"/>
        <v>1214.8500000000001</v>
      </c>
      <c r="J291" s="86">
        <v>583.13</v>
      </c>
      <c r="K291" s="86">
        <f t="shared" si="9"/>
        <v>631.72000000000014</v>
      </c>
      <c r="L291" s="87" t="s">
        <v>63</v>
      </c>
      <c r="M291" s="87" t="s">
        <v>68</v>
      </c>
      <c r="N291" s="88" t="s">
        <v>71</v>
      </c>
    </row>
    <row r="292" spans="1:14">
      <c r="A292" s="81">
        <v>45495</v>
      </c>
      <c r="B292" s="82" t="s">
        <v>360</v>
      </c>
      <c r="C292" s="82" t="s">
        <v>31</v>
      </c>
      <c r="D292" s="82" t="s">
        <v>27</v>
      </c>
      <c r="E292" s="82" t="s">
        <v>30</v>
      </c>
      <c r="F292" s="83">
        <v>13</v>
      </c>
      <c r="G292" s="84">
        <v>604.67999999999995</v>
      </c>
      <c r="H292" s="85">
        <v>0.12</v>
      </c>
      <c r="I292" s="86">
        <f t="shared" si="8"/>
        <v>6917.5391999999993</v>
      </c>
      <c r="J292" s="86">
        <v>5030.9399999999996</v>
      </c>
      <c r="K292" s="86">
        <f t="shared" si="9"/>
        <v>1886.5991999999997</v>
      </c>
      <c r="L292" s="87" t="s">
        <v>67</v>
      </c>
      <c r="M292" s="87" t="s">
        <v>68</v>
      </c>
      <c r="N292" s="88" t="s">
        <v>69</v>
      </c>
    </row>
    <row r="293" spans="1:14">
      <c r="A293" s="81">
        <v>45496</v>
      </c>
      <c r="B293" s="82" t="s">
        <v>361</v>
      </c>
      <c r="C293" s="82" t="s">
        <v>40</v>
      </c>
      <c r="D293" s="82" t="s">
        <v>27</v>
      </c>
      <c r="E293" s="82" t="s">
        <v>25</v>
      </c>
      <c r="F293" s="83">
        <v>12</v>
      </c>
      <c r="G293" s="84">
        <v>1240.3399999999999</v>
      </c>
      <c r="H293" s="85">
        <v>0.12</v>
      </c>
      <c r="I293" s="86">
        <f t="shared" si="8"/>
        <v>13097.990399999999</v>
      </c>
      <c r="J293" s="86">
        <v>10121.17</v>
      </c>
      <c r="K293" s="86">
        <f t="shared" si="9"/>
        <v>2976.8203999999987</v>
      </c>
      <c r="L293" s="87" t="s">
        <v>67</v>
      </c>
      <c r="M293" s="87" t="s">
        <v>68</v>
      </c>
      <c r="N293" s="88" t="s">
        <v>78</v>
      </c>
    </row>
    <row r="294" spans="1:14">
      <c r="A294" s="81">
        <v>45498</v>
      </c>
      <c r="B294" s="82" t="s">
        <v>362</v>
      </c>
      <c r="C294" s="82" t="s">
        <v>36</v>
      </c>
      <c r="D294" s="82" t="s">
        <v>27</v>
      </c>
      <c r="E294" s="82" t="s">
        <v>30</v>
      </c>
      <c r="F294" s="83">
        <v>9</v>
      </c>
      <c r="G294" s="84">
        <v>651.07000000000005</v>
      </c>
      <c r="H294" s="85">
        <v>0.03</v>
      </c>
      <c r="I294" s="86">
        <f t="shared" si="8"/>
        <v>5683.8410999999996</v>
      </c>
      <c r="J294" s="86">
        <v>3750.16</v>
      </c>
      <c r="K294" s="86">
        <f t="shared" si="9"/>
        <v>1933.6810999999998</v>
      </c>
      <c r="L294" s="87" t="s">
        <v>67</v>
      </c>
      <c r="M294" s="87" t="s">
        <v>68</v>
      </c>
      <c r="N294" s="88" t="s">
        <v>61</v>
      </c>
    </row>
    <row r="295" spans="1:14">
      <c r="A295" s="81">
        <v>45501</v>
      </c>
      <c r="B295" s="82" t="s">
        <v>363</v>
      </c>
      <c r="C295" s="82" t="s">
        <v>36</v>
      </c>
      <c r="D295" s="82" t="s">
        <v>37</v>
      </c>
      <c r="E295" s="82" t="s">
        <v>47</v>
      </c>
      <c r="F295" s="83">
        <v>8</v>
      </c>
      <c r="G295" s="84">
        <v>123</v>
      </c>
      <c r="H295" s="85">
        <v>0.08</v>
      </c>
      <c r="I295" s="86">
        <f t="shared" si="8"/>
        <v>905.28000000000009</v>
      </c>
      <c r="J295" s="86">
        <v>452.64</v>
      </c>
      <c r="K295" s="86">
        <f t="shared" si="9"/>
        <v>452.6400000000001</v>
      </c>
      <c r="L295" s="87" t="s">
        <v>63</v>
      </c>
      <c r="M295" s="87" t="s">
        <v>68</v>
      </c>
      <c r="N295" s="88" t="s">
        <v>69</v>
      </c>
    </row>
    <row r="296" spans="1:14">
      <c r="A296" s="81">
        <v>45502</v>
      </c>
      <c r="B296" s="82" t="s">
        <v>364</v>
      </c>
      <c r="C296" s="82" t="s">
        <v>31</v>
      </c>
      <c r="D296" s="82" t="s">
        <v>32</v>
      </c>
      <c r="E296" s="82" t="s">
        <v>42</v>
      </c>
      <c r="F296" s="83">
        <v>3</v>
      </c>
      <c r="G296" s="84">
        <v>745.76</v>
      </c>
      <c r="H296" s="85">
        <v>0.08</v>
      </c>
      <c r="I296" s="86">
        <f t="shared" si="8"/>
        <v>2058.2975999999999</v>
      </c>
      <c r="J296" s="86">
        <v>1364.74</v>
      </c>
      <c r="K296" s="86">
        <f t="shared" si="9"/>
        <v>693.55759999999987</v>
      </c>
      <c r="L296" s="87" t="s">
        <v>67</v>
      </c>
      <c r="M296" s="87" t="s">
        <v>64</v>
      </c>
      <c r="N296" s="88" t="s">
        <v>69</v>
      </c>
    </row>
    <row r="297" spans="1:14">
      <c r="A297" s="81">
        <v>45502</v>
      </c>
      <c r="B297" s="82" t="s">
        <v>365</v>
      </c>
      <c r="C297" s="82" t="s">
        <v>36</v>
      </c>
      <c r="D297" s="82" t="s">
        <v>27</v>
      </c>
      <c r="E297" s="82" t="s">
        <v>25</v>
      </c>
      <c r="F297" s="83">
        <v>2</v>
      </c>
      <c r="G297" s="84">
        <v>1248.6600000000001</v>
      </c>
      <c r="H297" s="85">
        <v>0.08</v>
      </c>
      <c r="I297" s="86">
        <f t="shared" si="8"/>
        <v>2297.5344000000005</v>
      </c>
      <c r="J297" s="86">
        <v>1698.18</v>
      </c>
      <c r="K297" s="86">
        <f t="shared" si="9"/>
        <v>599.3544000000004</v>
      </c>
      <c r="L297" s="87" t="s">
        <v>63</v>
      </c>
      <c r="M297" s="87" t="s">
        <v>64</v>
      </c>
      <c r="N297" s="88" t="s">
        <v>65</v>
      </c>
    </row>
    <row r="298" spans="1:14">
      <c r="A298" s="81">
        <v>45503</v>
      </c>
      <c r="B298" s="82" t="s">
        <v>366</v>
      </c>
      <c r="C298" s="82" t="s">
        <v>36</v>
      </c>
      <c r="D298" s="82" t="s">
        <v>32</v>
      </c>
      <c r="E298" s="82" t="s">
        <v>39</v>
      </c>
      <c r="F298" s="83">
        <v>7</v>
      </c>
      <c r="G298" s="84">
        <v>452.46</v>
      </c>
      <c r="H298" s="85">
        <v>0</v>
      </c>
      <c r="I298" s="86">
        <f t="shared" si="8"/>
        <v>3167.22</v>
      </c>
      <c r="J298" s="86">
        <v>1805.32</v>
      </c>
      <c r="K298" s="86">
        <f t="shared" si="9"/>
        <v>1361.8999999999999</v>
      </c>
      <c r="L298" s="87" t="s">
        <v>59</v>
      </c>
      <c r="M298" s="87" t="s">
        <v>60</v>
      </c>
      <c r="N298" s="88" t="s">
        <v>78</v>
      </c>
    </row>
    <row r="299" spans="1:14">
      <c r="A299" s="81">
        <v>45503</v>
      </c>
      <c r="B299" s="82" t="s">
        <v>367</v>
      </c>
      <c r="C299" s="82" t="s">
        <v>40</v>
      </c>
      <c r="D299" s="82" t="s">
        <v>27</v>
      </c>
      <c r="E299" s="82" t="s">
        <v>25</v>
      </c>
      <c r="F299" s="83">
        <v>5</v>
      </c>
      <c r="G299" s="84">
        <v>1140</v>
      </c>
      <c r="H299" s="85">
        <v>0.03</v>
      </c>
      <c r="I299" s="86">
        <f t="shared" si="8"/>
        <v>5529</v>
      </c>
      <c r="J299" s="86">
        <v>3876</v>
      </c>
      <c r="K299" s="86">
        <f t="shared" si="9"/>
        <v>1653</v>
      </c>
      <c r="L299" s="87" t="s">
        <v>63</v>
      </c>
      <c r="M299" s="87" t="s">
        <v>68</v>
      </c>
      <c r="N299" s="88" t="s">
        <v>61</v>
      </c>
    </row>
    <row r="300" spans="1:14">
      <c r="A300" s="81">
        <v>45504</v>
      </c>
      <c r="B300" s="82" t="s">
        <v>368</v>
      </c>
      <c r="C300" s="82" t="s">
        <v>31</v>
      </c>
      <c r="D300" s="82" t="s">
        <v>27</v>
      </c>
      <c r="E300" s="82" t="s">
        <v>25</v>
      </c>
      <c r="F300" s="83">
        <v>5</v>
      </c>
      <c r="G300" s="84">
        <v>1184.6300000000001</v>
      </c>
      <c r="H300" s="85">
        <v>0.03</v>
      </c>
      <c r="I300" s="86">
        <f t="shared" si="8"/>
        <v>5745.4555</v>
      </c>
      <c r="J300" s="86">
        <v>4027.74</v>
      </c>
      <c r="K300" s="86">
        <f t="shared" si="9"/>
        <v>1717.7155000000002</v>
      </c>
      <c r="L300" s="87" t="s">
        <v>63</v>
      </c>
      <c r="M300" s="87" t="s">
        <v>64</v>
      </c>
      <c r="N300" s="88" t="s">
        <v>69</v>
      </c>
    </row>
    <row r="301" spans="1:14">
      <c r="A301" s="81">
        <v>45505</v>
      </c>
      <c r="B301" s="82" t="s">
        <v>369</v>
      </c>
      <c r="C301" s="82" t="s">
        <v>36</v>
      </c>
      <c r="D301" s="82" t="s">
        <v>27</v>
      </c>
      <c r="E301" s="82" t="s">
        <v>25</v>
      </c>
      <c r="F301" s="83">
        <v>6</v>
      </c>
      <c r="G301" s="84">
        <v>1171.1500000000001</v>
      </c>
      <c r="H301" s="85">
        <v>0.1</v>
      </c>
      <c r="I301" s="86">
        <f t="shared" si="8"/>
        <v>6324.2100000000009</v>
      </c>
      <c r="J301" s="86">
        <v>4778.29</v>
      </c>
      <c r="K301" s="86">
        <f t="shared" si="9"/>
        <v>1545.920000000001</v>
      </c>
      <c r="L301" s="87" t="s">
        <v>63</v>
      </c>
      <c r="M301" s="87" t="s">
        <v>60</v>
      </c>
      <c r="N301" s="88" t="s">
        <v>61</v>
      </c>
    </row>
    <row r="302" spans="1:14">
      <c r="A302" s="81">
        <v>45505</v>
      </c>
      <c r="B302" s="82" t="s">
        <v>370</v>
      </c>
      <c r="C302" s="82" t="s">
        <v>31</v>
      </c>
      <c r="D302" s="82" t="s">
        <v>27</v>
      </c>
      <c r="E302" s="82" t="s">
        <v>35</v>
      </c>
      <c r="F302" s="83">
        <v>9</v>
      </c>
      <c r="G302" s="84">
        <v>353.39</v>
      </c>
      <c r="H302" s="85">
        <v>0.12</v>
      </c>
      <c r="I302" s="86">
        <f t="shared" si="8"/>
        <v>2798.8487999999998</v>
      </c>
      <c r="J302" s="86">
        <v>1908.31</v>
      </c>
      <c r="K302" s="86">
        <f t="shared" si="9"/>
        <v>890.53879999999981</v>
      </c>
      <c r="L302" s="87" t="s">
        <v>59</v>
      </c>
      <c r="M302" s="87" t="s">
        <v>68</v>
      </c>
      <c r="N302" s="88" t="s">
        <v>74</v>
      </c>
    </row>
    <row r="303" spans="1:14">
      <c r="A303" s="81">
        <v>45506</v>
      </c>
      <c r="B303" s="82" t="s">
        <v>371</v>
      </c>
      <c r="C303" s="82" t="s">
        <v>31</v>
      </c>
      <c r="D303" s="82" t="s">
        <v>32</v>
      </c>
      <c r="E303" s="82" t="s">
        <v>42</v>
      </c>
      <c r="F303" s="83">
        <v>5</v>
      </c>
      <c r="G303" s="84">
        <v>798.8</v>
      </c>
      <c r="H303" s="85">
        <v>0.05</v>
      </c>
      <c r="I303" s="86">
        <f t="shared" si="8"/>
        <v>3794.2999999999997</v>
      </c>
      <c r="J303" s="86">
        <v>2436.34</v>
      </c>
      <c r="K303" s="86">
        <f t="shared" si="9"/>
        <v>1357.9599999999996</v>
      </c>
      <c r="L303" s="87" t="s">
        <v>67</v>
      </c>
      <c r="M303" s="87" t="s">
        <v>68</v>
      </c>
      <c r="N303" s="88" t="s">
        <v>61</v>
      </c>
    </row>
    <row r="304" spans="1:14">
      <c r="A304" s="81">
        <v>45507</v>
      </c>
      <c r="B304" s="82" t="s">
        <v>372</v>
      </c>
      <c r="C304" s="82" t="s">
        <v>31</v>
      </c>
      <c r="D304" s="82" t="s">
        <v>32</v>
      </c>
      <c r="E304" s="82" t="s">
        <v>39</v>
      </c>
      <c r="F304" s="83">
        <v>5</v>
      </c>
      <c r="G304" s="84">
        <v>454.13</v>
      </c>
      <c r="H304" s="85">
        <v>0.05</v>
      </c>
      <c r="I304" s="86">
        <f t="shared" si="8"/>
        <v>2157.1174999999998</v>
      </c>
      <c r="J304" s="86">
        <v>1294.27</v>
      </c>
      <c r="K304" s="86">
        <f t="shared" si="9"/>
        <v>862.84749999999985</v>
      </c>
      <c r="L304" s="87" t="s">
        <v>63</v>
      </c>
      <c r="M304" s="87" t="s">
        <v>64</v>
      </c>
      <c r="N304" s="88" t="s">
        <v>78</v>
      </c>
    </row>
    <row r="305" spans="1:14">
      <c r="A305" s="81">
        <v>45508</v>
      </c>
      <c r="B305" s="82" t="s">
        <v>373</v>
      </c>
      <c r="C305" s="82" t="s">
        <v>36</v>
      </c>
      <c r="D305" s="82" t="s">
        <v>37</v>
      </c>
      <c r="E305" s="82" t="s">
        <v>47</v>
      </c>
      <c r="F305" s="83">
        <v>10</v>
      </c>
      <c r="G305" s="84">
        <v>126.94</v>
      </c>
      <c r="H305" s="85">
        <v>0.08</v>
      </c>
      <c r="I305" s="86">
        <f t="shared" si="8"/>
        <v>1167.8480000000002</v>
      </c>
      <c r="J305" s="86">
        <v>583.91999999999996</v>
      </c>
      <c r="K305" s="86">
        <f t="shared" si="9"/>
        <v>583.92800000000022</v>
      </c>
      <c r="L305" s="87" t="s">
        <v>63</v>
      </c>
      <c r="M305" s="87" t="s">
        <v>68</v>
      </c>
      <c r="N305" s="88" t="s">
        <v>65</v>
      </c>
    </row>
    <row r="306" spans="1:14">
      <c r="A306" s="81">
        <v>45508</v>
      </c>
      <c r="B306" s="82" t="s">
        <v>374</v>
      </c>
      <c r="C306" s="82" t="s">
        <v>31</v>
      </c>
      <c r="D306" s="82" t="s">
        <v>27</v>
      </c>
      <c r="E306" s="82" t="s">
        <v>30</v>
      </c>
      <c r="F306" s="83">
        <v>7</v>
      </c>
      <c r="G306" s="84">
        <v>634.94000000000005</v>
      </c>
      <c r="H306" s="85">
        <v>0.03</v>
      </c>
      <c r="I306" s="86">
        <f t="shared" si="8"/>
        <v>4311.2425999999996</v>
      </c>
      <c r="J306" s="86">
        <v>2844.53</v>
      </c>
      <c r="K306" s="86">
        <f t="shared" si="9"/>
        <v>1466.7125999999994</v>
      </c>
      <c r="L306" s="87" t="s">
        <v>59</v>
      </c>
      <c r="M306" s="87" t="s">
        <v>64</v>
      </c>
      <c r="N306" s="88" t="s">
        <v>65</v>
      </c>
    </row>
    <row r="307" spans="1:14">
      <c r="A307" s="81">
        <v>45509</v>
      </c>
      <c r="B307" s="82" t="s">
        <v>375</v>
      </c>
      <c r="C307" s="82" t="s">
        <v>26</v>
      </c>
      <c r="D307" s="82" t="s">
        <v>27</v>
      </c>
      <c r="E307" s="82" t="s">
        <v>35</v>
      </c>
      <c r="F307" s="83">
        <v>8</v>
      </c>
      <c r="G307" s="84">
        <v>353.5</v>
      </c>
      <c r="H307" s="85">
        <v>0.03</v>
      </c>
      <c r="I307" s="86">
        <f t="shared" si="8"/>
        <v>2743.16</v>
      </c>
      <c r="J307" s="86">
        <v>1696.8</v>
      </c>
      <c r="K307" s="86">
        <f t="shared" si="9"/>
        <v>1046.3599999999999</v>
      </c>
      <c r="L307" s="87" t="s">
        <v>67</v>
      </c>
      <c r="M307" s="87" t="s">
        <v>60</v>
      </c>
      <c r="N307" s="88" t="s">
        <v>65</v>
      </c>
    </row>
    <row r="308" spans="1:14">
      <c r="A308" s="81">
        <v>45511</v>
      </c>
      <c r="B308" s="82" t="s">
        <v>376</v>
      </c>
      <c r="C308" s="82" t="s">
        <v>31</v>
      </c>
      <c r="D308" s="82" t="s">
        <v>32</v>
      </c>
      <c r="E308" s="82" t="s">
        <v>39</v>
      </c>
      <c r="F308" s="83">
        <v>8</v>
      </c>
      <c r="G308" s="84">
        <v>451.21</v>
      </c>
      <c r="H308" s="85">
        <v>0.08</v>
      </c>
      <c r="I308" s="86">
        <f t="shared" si="8"/>
        <v>3320.9056</v>
      </c>
      <c r="J308" s="86">
        <v>2057.52</v>
      </c>
      <c r="K308" s="86">
        <f t="shared" si="9"/>
        <v>1263.3856000000001</v>
      </c>
      <c r="L308" s="87" t="s">
        <v>63</v>
      </c>
      <c r="M308" s="87" t="s">
        <v>64</v>
      </c>
      <c r="N308" s="88" t="s">
        <v>65</v>
      </c>
    </row>
    <row r="309" spans="1:14">
      <c r="A309" s="81">
        <v>45511</v>
      </c>
      <c r="B309" s="82" t="s">
        <v>377</v>
      </c>
      <c r="C309" s="82" t="s">
        <v>26</v>
      </c>
      <c r="D309" s="82" t="s">
        <v>37</v>
      </c>
      <c r="E309" s="82" t="s">
        <v>47</v>
      </c>
      <c r="F309" s="83">
        <v>9</v>
      </c>
      <c r="G309" s="84">
        <v>119.5</v>
      </c>
      <c r="H309" s="85">
        <v>0.03</v>
      </c>
      <c r="I309" s="86">
        <f t="shared" si="8"/>
        <v>1043.2349999999999</v>
      </c>
      <c r="J309" s="86">
        <v>494.73</v>
      </c>
      <c r="K309" s="86">
        <f t="shared" si="9"/>
        <v>548.50499999999988</v>
      </c>
      <c r="L309" s="87" t="s">
        <v>59</v>
      </c>
      <c r="M309" s="87" t="s">
        <v>60</v>
      </c>
      <c r="N309" s="88" t="s">
        <v>61</v>
      </c>
    </row>
    <row r="310" spans="1:14">
      <c r="A310" s="81">
        <v>45511</v>
      </c>
      <c r="B310" s="82" t="s">
        <v>378</v>
      </c>
      <c r="C310" s="82" t="s">
        <v>36</v>
      </c>
      <c r="D310" s="82" t="s">
        <v>27</v>
      </c>
      <c r="E310" s="82" t="s">
        <v>35</v>
      </c>
      <c r="F310" s="83">
        <v>4</v>
      </c>
      <c r="G310" s="84">
        <v>366.44</v>
      </c>
      <c r="H310" s="85">
        <v>0</v>
      </c>
      <c r="I310" s="86">
        <f t="shared" si="8"/>
        <v>1465.76</v>
      </c>
      <c r="J310" s="86">
        <v>879.46</v>
      </c>
      <c r="K310" s="86">
        <f t="shared" si="9"/>
        <v>586.29999999999995</v>
      </c>
      <c r="L310" s="87" t="s">
        <v>59</v>
      </c>
      <c r="M310" s="87" t="s">
        <v>60</v>
      </c>
      <c r="N310" s="88" t="s">
        <v>69</v>
      </c>
    </row>
    <row r="311" spans="1:14">
      <c r="A311" s="81">
        <v>45511</v>
      </c>
      <c r="B311" s="82" t="s">
        <v>379</v>
      </c>
      <c r="C311" s="82" t="s">
        <v>26</v>
      </c>
      <c r="D311" s="82" t="s">
        <v>37</v>
      </c>
      <c r="E311" s="82" t="s">
        <v>48</v>
      </c>
      <c r="F311" s="83">
        <v>4</v>
      </c>
      <c r="G311" s="84">
        <v>65.849999999999994</v>
      </c>
      <c r="H311" s="85">
        <v>0.05</v>
      </c>
      <c r="I311" s="86">
        <f t="shared" si="8"/>
        <v>250.22999999999996</v>
      </c>
      <c r="J311" s="86">
        <v>110.63</v>
      </c>
      <c r="K311" s="86">
        <f t="shared" si="9"/>
        <v>139.59999999999997</v>
      </c>
      <c r="L311" s="87" t="s">
        <v>59</v>
      </c>
      <c r="M311" s="87" t="s">
        <v>64</v>
      </c>
      <c r="N311" s="88" t="s">
        <v>61</v>
      </c>
    </row>
    <row r="312" spans="1:14">
      <c r="A312" s="81">
        <v>45512</v>
      </c>
      <c r="B312" s="82" t="s">
        <v>380</v>
      </c>
      <c r="C312" s="82" t="s">
        <v>36</v>
      </c>
      <c r="D312" s="82" t="s">
        <v>27</v>
      </c>
      <c r="E312" s="82" t="s">
        <v>25</v>
      </c>
      <c r="F312" s="83">
        <v>7</v>
      </c>
      <c r="G312" s="84">
        <v>1232.8499999999999</v>
      </c>
      <c r="H312" s="85">
        <v>0</v>
      </c>
      <c r="I312" s="86">
        <f t="shared" si="8"/>
        <v>8629.9499999999989</v>
      </c>
      <c r="J312" s="86">
        <v>5868.37</v>
      </c>
      <c r="K312" s="86">
        <f t="shared" si="9"/>
        <v>2761.579999999999</v>
      </c>
      <c r="L312" s="87" t="s">
        <v>59</v>
      </c>
      <c r="M312" s="87" t="s">
        <v>60</v>
      </c>
      <c r="N312" s="88" t="s">
        <v>78</v>
      </c>
    </row>
    <row r="313" spans="1:14">
      <c r="A313" s="81">
        <v>45513</v>
      </c>
      <c r="B313" s="82" t="s">
        <v>381</v>
      </c>
      <c r="C313" s="82" t="s">
        <v>40</v>
      </c>
      <c r="D313" s="82" t="s">
        <v>27</v>
      </c>
      <c r="E313" s="82" t="s">
        <v>30</v>
      </c>
      <c r="F313" s="83">
        <v>5</v>
      </c>
      <c r="G313" s="84">
        <v>652.66</v>
      </c>
      <c r="H313" s="85">
        <v>0.12</v>
      </c>
      <c r="I313" s="86">
        <f t="shared" si="8"/>
        <v>2871.7039999999997</v>
      </c>
      <c r="J313" s="86">
        <v>2088.5100000000002</v>
      </c>
      <c r="K313" s="86">
        <f t="shared" si="9"/>
        <v>783.19399999999951</v>
      </c>
      <c r="L313" s="87" t="s">
        <v>59</v>
      </c>
      <c r="M313" s="87" t="s">
        <v>68</v>
      </c>
      <c r="N313" s="88" t="s">
        <v>78</v>
      </c>
    </row>
    <row r="314" spans="1:14">
      <c r="A314" s="81">
        <v>45513</v>
      </c>
      <c r="B314" s="82" t="s">
        <v>382</v>
      </c>
      <c r="C314" s="82" t="s">
        <v>26</v>
      </c>
      <c r="D314" s="82" t="s">
        <v>37</v>
      </c>
      <c r="E314" s="82" t="s">
        <v>48</v>
      </c>
      <c r="F314" s="83">
        <v>10</v>
      </c>
      <c r="G314" s="84">
        <v>69.900000000000006</v>
      </c>
      <c r="H314" s="85">
        <v>0.08</v>
      </c>
      <c r="I314" s="86">
        <f t="shared" si="8"/>
        <v>643.08000000000004</v>
      </c>
      <c r="J314" s="86">
        <v>293.58</v>
      </c>
      <c r="K314" s="86">
        <f t="shared" si="9"/>
        <v>349.50000000000006</v>
      </c>
      <c r="L314" s="87" t="s">
        <v>67</v>
      </c>
      <c r="M314" s="87" t="s">
        <v>68</v>
      </c>
      <c r="N314" s="88" t="s">
        <v>78</v>
      </c>
    </row>
    <row r="315" spans="1:14">
      <c r="A315" s="81">
        <v>45514</v>
      </c>
      <c r="B315" s="82" t="s">
        <v>383</v>
      </c>
      <c r="C315" s="82" t="s">
        <v>40</v>
      </c>
      <c r="D315" s="82" t="s">
        <v>32</v>
      </c>
      <c r="E315" s="82" t="s">
        <v>42</v>
      </c>
      <c r="F315" s="83">
        <v>5</v>
      </c>
      <c r="G315" s="84">
        <v>800.79</v>
      </c>
      <c r="H315" s="85">
        <v>0.05</v>
      </c>
      <c r="I315" s="86">
        <f t="shared" si="8"/>
        <v>3803.7524999999996</v>
      </c>
      <c r="J315" s="86">
        <v>2442.41</v>
      </c>
      <c r="K315" s="86">
        <f t="shared" si="9"/>
        <v>1361.3424999999997</v>
      </c>
      <c r="L315" s="87" t="s">
        <v>67</v>
      </c>
      <c r="M315" s="87" t="s">
        <v>60</v>
      </c>
      <c r="N315" s="88" t="s">
        <v>69</v>
      </c>
    </row>
    <row r="316" spans="1:14">
      <c r="A316" s="81">
        <v>45514</v>
      </c>
      <c r="B316" s="82" t="s">
        <v>384</v>
      </c>
      <c r="C316" s="82" t="s">
        <v>36</v>
      </c>
      <c r="D316" s="82" t="s">
        <v>32</v>
      </c>
      <c r="E316" s="82" t="s">
        <v>42</v>
      </c>
      <c r="F316" s="83">
        <v>2</v>
      </c>
      <c r="G316" s="84">
        <v>775.69</v>
      </c>
      <c r="H316" s="85">
        <v>0.12</v>
      </c>
      <c r="I316" s="86">
        <f t="shared" si="8"/>
        <v>1365.2144000000001</v>
      </c>
      <c r="J316" s="86">
        <v>946.34</v>
      </c>
      <c r="K316" s="86">
        <f t="shared" si="9"/>
        <v>418.87440000000004</v>
      </c>
      <c r="L316" s="87" t="s">
        <v>59</v>
      </c>
      <c r="M316" s="87" t="s">
        <v>60</v>
      </c>
      <c r="N316" s="88" t="s">
        <v>78</v>
      </c>
    </row>
    <row r="317" spans="1:14">
      <c r="A317" s="81">
        <v>45515</v>
      </c>
      <c r="B317" s="82" t="s">
        <v>385</v>
      </c>
      <c r="C317" s="82" t="s">
        <v>26</v>
      </c>
      <c r="D317" s="82" t="s">
        <v>32</v>
      </c>
      <c r="E317" s="82" t="s">
        <v>46</v>
      </c>
      <c r="F317" s="83">
        <v>2</v>
      </c>
      <c r="G317" s="84">
        <v>98.44</v>
      </c>
      <c r="H317" s="85">
        <v>0.08</v>
      </c>
      <c r="I317" s="86">
        <f t="shared" si="8"/>
        <v>181.12960000000001</v>
      </c>
      <c r="J317" s="86">
        <v>94.5</v>
      </c>
      <c r="K317" s="86">
        <f t="shared" si="9"/>
        <v>86.629600000000011</v>
      </c>
      <c r="L317" s="87" t="s">
        <v>63</v>
      </c>
      <c r="M317" s="87" t="s">
        <v>64</v>
      </c>
      <c r="N317" s="88" t="s">
        <v>65</v>
      </c>
    </row>
    <row r="318" spans="1:14">
      <c r="A318" s="81">
        <v>45515</v>
      </c>
      <c r="B318" s="82" t="s">
        <v>386</v>
      </c>
      <c r="C318" s="82" t="s">
        <v>40</v>
      </c>
      <c r="D318" s="82" t="s">
        <v>32</v>
      </c>
      <c r="E318" s="82" t="s">
        <v>42</v>
      </c>
      <c r="F318" s="83">
        <v>11</v>
      </c>
      <c r="G318" s="84">
        <v>782.55</v>
      </c>
      <c r="H318" s="85">
        <v>0.05</v>
      </c>
      <c r="I318" s="86">
        <f t="shared" si="8"/>
        <v>8177.6474999999991</v>
      </c>
      <c r="J318" s="86">
        <v>5250.91</v>
      </c>
      <c r="K318" s="86">
        <f t="shared" si="9"/>
        <v>2926.7374999999993</v>
      </c>
      <c r="L318" s="87" t="s">
        <v>59</v>
      </c>
      <c r="M318" s="87" t="s">
        <v>68</v>
      </c>
      <c r="N318" s="88" t="s">
        <v>65</v>
      </c>
    </row>
    <row r="319" spans="1:14">
      <c r="A319" s="81">
        <v>45517</v>
      </c>
      <c r="B319" s="82" t="s">
        <v>387</v>
      </c>
      <c r="C319" s="82" t="s">
        <v>31</v>
      </c>
      <c r="D319" s="82" t="s">
        <v>32</v>
      </c>
      <c r="E319" s="82" t="s">
        <v>46</v>
      </c>
      <c r="F319" s="83">
        <v>9</v>
      </c>
      <c r="G319" s="84">
        <v>94.21</v>
      </c>
      <c r="H319" s="85">
        <v>0.12</v>
      </c>
      <c r="I319" s="86">
        <f t="shared" si="8"/>
        <v>746.14319999999998</v>
      </c>
      <c r="J319" s="86">
        <v>406.99</v>
      </c>
      <c r="K319" s="86">
        <f t="shared" si="9"/>
        <v>339.15319999999997</v>
      </c>
      <c r="L319" s="87" t="s">
        <v>67</v>
      </c>
      <c r="M319" s="87" t="s">
        <v>64</v>
      </c>
      <c r="N319" s="88" t="s">
        <v>65</v>
      </c>
    </row>
    <row r="320" spans="1:14">
      <c r="A320" s="81">
        <v>45517</v>
      </c>
      <c r="B320" s="82" t="s">
        <v>388</v>
      </c>
      <c r="C320" s="82" t="s">
        <v>36</v>
      </c>
      <c r="D320" s="82" t="s">
        <v>32</v>
      </c>
      <c r="E320" s="82" t="s">
        <v>39</v>
      </c>
      <c r="F320" s="83">
        <v>7</v>
      </c>
      <c r="G320" s="84">
        <v>451.77</v>
      </c>
      <c r="H320" s="85">
        <v>0.1</v>
      </c>
      <c r="I320" s="86">
        <f t="shared" si="8"/>
        <v>2846.1509999999998</v>
      </c>
      <c r="J320" s="86">
        <v>1802.56</v>
      </c>
      <c r="K320" s="86">
        <f t="shared" si="9"/>
        <v>1043.5909999999999</v>
      </c>
      <c r="L320" s="87" t="s">
        <v>59</v>
      </c>
      <c r="M320" s="87" t="s">
        <v>68</v>
      </c>
      <c r="N320" s="88" t="s">
        <v>65</v>
      </c>
    </row>
    <row r="321" spans="1:14">
      <c r="A321" s="81">
        <v>45518</v>
      </c>
      <c r="B321" s="82" t="s">
        <v>389</v>
      </c>
      <c r="C321" s="82" t="s">
        <v>31</v>
      </c>
      <c r="D321" s="82" t="s">
        <v>37</v>
      </c>
      <c r="E321" s="82" t="s">
        <v>48</v>
      </c>
      <c r="F321" s="83">
        <v>4</v>
      </c>
      <c r="G321" s="84">
        <v>72.040000000000006</v>
      </c>
      <c r="H321" s="85">
        <v>0.05</v>
      </c>
      <c r="I321" s="86">
        <f t="shared" si="8"/>
        <v>273.75200000000001</v>
      </c>
      <c r="J321" s="86">
        <v>121.03</v>
      </c>
      <c r="K321" s="86">
        <f t="shared" si="9"/>
        <v>152.72200000000001</v>
      </c>
      <c r="L321" s="87" t="s">
        <v>59</v>
      </c>
      <c r="M321" s="87" t="s">
        <v>64</v>
      </c>
      <c r="N321" s="88" t="s">
        <v>61</v>
      </c>
    </row>
    <row r="322" spans="1:14">
      <c r="A322" s="81">
        <v>45518</v>
      </c>
      <c r="B322" s="82" t="s">
        <v>390</v>
      </c>
      <c r="C322" s="82" t="s">
        <v>40</v>
      </c>
      <c r="D322" s="82" t="s">
        <v>27</v>
      </c>
      <c r="E322" s="82" t="s">
        <v>35</v>
      </c>
      <c r="F322" s="83">
        <v>4</v>
      </c>
      <c r="G322" s="84">
        <v>356.6</v>
      </c>
      <c r="H322" s="85">
        <v>0</v>
      </c>
      <c r="I322" s="86">
        <f t="shared" ref="I322:I385" si="10">F322*G322*(1-H322)</f>
        <v>1426.4</v>
      </c>
      <c r="J322" s="86">
        <v>855.84</v>
      </c>
      <c r="K322" s="86">
        <f t="shared" ref="K322:K385" si="11">I322-J322</f>
        <v>570.56000000000006</v>
      </c>
      <c r="L322" s="87" t="s">
        <v>59</v>
      </c>
      <c r="M322" s="87" t="s">
        <v>64</v>
      </c>
      <c r="N322" s="88" t="s">
        <v>78</v>
      </c>
    </row>
    <row r="323" spans="1:14">
      <c r="A323" s="81">
        <v>45518</v>
      </c>
      <c r="B323" s="82" t="s">
        <v>391</v>
      </c>
      <c r="C323" s="82" t="s">
        <v>31</v>
      </c>
      <c r="D323" s="82" t="s">
        <v>37</v>
      </c>
      <c r="E323" s="82" t="s">
        <v>48</v>
      </c>
      <c r="F323" s="83">
        <v>6</v>
      </c>
      <c r="G323" s="84">
        <v>69.930000000000007</v>
      </c>
      <c r="H323" s="85">
        <v>0.08</v>
      </c>
      <c r="I323" s="86">
        <f t="shared" si="10"/>
        <v>386.01360000000005</v>
      </c>
      <c r="J323" s="86">
        <v>176.22</v>
      </c>
      <c r="K323" s="86">
        <f t="shared" si="11"/>
        <v>209.79360000000005</v>
      </c>
      <c r="L323" s="87" t="s">
        <v>67</v>
      </c>
      <c r="M323" s="87" t="s">
        <v>64</v>
      </c>
      <c r="N323" s="88" t="s">
        <v>71</v>
      </c>
    </row>
    <row r="324" spans="1:14">
      <c r="A324" s="81">
        <v>45520</v>
      </c>
      <c r="B324" s="82" t="s">
        <v>392</v>
      </c>
      <c r="C324" s="82" t="s">
        <v>26</v>
      </c>
      <c r="D324" s="82" t="s">
        <v>32</v>
      </c>
      <c r="E324" s="82" t="s">
        <v>42</v>
      </c>
      <c r="F324" s="83">
        <v>13</v>
      </c>
      <c r="G324" s="84">
        <v>794.45</v>
      </c>
      <c r="H324" s="85">
        <v>0</v>
      </c>
      <c r="I324" s="86">
        <f t="shared" si="10"/>
        <v>10327.85</v>
      </c>
      <c r="J324" s="86">
        <v>6299.99</v>
      </c>
      <c r="K324" s="86">
        <f t="shared" si="11"/>
        <v>4027.8600000000006</v>
      </c>
      <c r="L324" s="87" t="s">
        <v>59</v>
      </c>
      <c r="M324" s="87" t="s">
        <v>68</v>
      </c>
      <c r="N324" s="88" t="s">
        <v>78</v>
      </c>
    </row>
    <row r="325" spans="1:14">
      <c r="A325" s="81">
        <v>45521</v>
      </c>
      <c r="B325" s="82" t="s">
        <v>393</v>
      </c>
      <c r="C325" s="82" t="s">
        <v>26</v>
      </c>
      <c r="D325" s="82" t="s">
        <v>32</v>
      </c>
      <c r="E325" s="82" t="s">
        <v>42</v>
      </c>
      <c r="F325" s="83">
        <v>11</v>
      </c>
      <c r="G325" s="84">
        <v>790.12</v>
      </c>
      <c r="H325" s="85">
        <v>0.05</v>
      </c>
      <c r="I325" s="86">
        <f t="shared" si="10"/>
        <v>8256.753999999999</v>
      </c>
      <c r="J325" s="86">
        <v>5301.71</v>
      </c>
      <c r="K325" s="86">
        <f t="shared" si="11"/>
        <v>2955.043999999999</v>
      </c>
      <c r="L325" s="87" t="s">
        <v>67</v>
      </c>
      <c r="M325" s="87" t="s">
        <v>68</v>
      </c>
      <c r="N325" s="88" t="s">
        <v>78</v>
      </c>
    </row>
    <row r="326" spans="1:14">
      <c r="A326" s="81">
        <v>45522</v>
      </c>
      <c r="B326" s="82" t="s">
        <v>394</v>
      </c>
      <c r="C326" s="82" t="s">
        <v>40</v>
      </c>
      <c r="D326" s="82" t="s">
        <v>27</v>
      </c>
      <c r="E326" s="82" t="s">
        <v>30</v>
      </c>
      <c r="F326" s="83">
        <v>4</v>
      </c>
      <c r="G326" s="84">
        <v>631.87</v>
      </c>
      <c r="H326" s="85">
        <v>0.12</v>
      </c>
      <c r="I326" s="86">
        <f t="shared" si="10"/>
        <v>2224.1824000000001</v>
      </c>
      <c r="J326" s="86">
        <v>1617.59</v>
      </c>
      <c r="K326" s="86">
        <f t="shared" si="11"/>
        <v>606.59240000000023</v>
      </c>
      <c r="L326" s="87" t="s">
        <v>63</v>
      </c>
      <c r="M326" s="87" t="s">
        <v>68</v>
      </c>
      <c r="N326" s="88" t="s">
        <v>71</v>
      </c>
    </row>
    <row r="327" spans="1:14">
      <c r="A327" s="81">
        <v>45522</v>
      </c>
      <c r="B327" s="82" t="s">
        <v>395</v>
      </c>
      <c r="C327" s="82" t="s">
        <v>31</v>
      </c>
      <c r="D327" s="82" t="s">
        <v>37</v>
      </c>
      <c r="E327" s="82" t="s">
        <v>48</v>
      </c>
      <c r="F327" s="83">
        <v>8</v>
      </c>
      <c r="G327" s="84">
        <v>71.09</v>
      </c>
      <c r="H327" s="85">
        <v>0.12</v>
      </c>
      <c r="I327" s="86">
        <f t="shared" si="10"/>
        <v>500.47360000000003</v>
      </c>
      <c r="J327" s="86">
        <v>238.86</v>
      </c>
      <c r="K327" s="86">
        <f t="shared" si="11"/>
        <v>261.61360000000002</v>
      </c>
      <c r="L327" s="87" t="s">
        <v>67</v>
      </c>
      <c r="M327" s="87" t="s">
        <v>60</v>
      </c>
      <c r="N327" s="88" t="s">
        <v>78</v>
      </c>
    </row>
    <row r="328" spans="1:14">
      <c r="A328" s="81">
        <v>45523</v>
      </c>
      <c r="B328" s="82" t="s">
        <v>396</v>
      </c>
      <c r="C328" s="82" t="s">
        <v>26</v>
      </c>
      <c r="D328" s="82" t="s">
        <v>32</v>
      </c>
      <c r="E328" s="82" t="s">
        <v>39</v>
      </c>
      <c r="F328" s="83">
        <v>12</v>
      </c>
      <c r="G328" s="84">
        <v>432.17</v>
      </c>
      <c r="H328" s="85">
        <v>0.03</v>
      </c>
      <c r="I328" s="86">
        <f t="shared" si="10"/>
        <v>5030.4587999999994</v>
      </c>
      <c r="J328" s="86">
        <v>2956.04</v>
      </c>
      <c r="K328" s="86">
        <f t="shared" si="11"/>
        <v>2074.4187999999995</v>
      </c>
      <c r="L328" s="87" t="s">
        <v>67</v>
      </c>
      <c r="M328" s="87" t="s">
        <v>68</v>
      </c>
      <c r="N328" s="88" t="s">
        <v>69</v>
      </c>
    </row>
    <row r="329" spans="1:14">
      <c r="A329" s="81">
        <v>45523</v>
      </c>
      <c r="B329" s="82" t="s">
        <v>397</v>
      </c>
      <c r="C329" s="82" t="s">
        <v>31</v>
      </c>
      <c r="D329" s="82" t="s">
        <v>32</v>
      </c>
      <c r="E329" s="82" t="s">
        <v>39</v>
      </c>
      <c r="F329" s="83">
        <v>10</v>
      </c>
      <c r="G329" s="84">
        <v>418.13</v>
      </c>
      <c r="H329" s="85">
        <v>0.1</v>
      </c>
      <c r="I329" s="86">
        <f t="shared" si="10"/>
        <v>3763.17</v>
      </c>
      <c r="J329" s="86">
        <v>2383.34</v>
      </c>
      <c r="K329" s="86">
        <f t="shared" si="11"/>
        <v>1379.83</v>
      </c>
      <c r="L329" s="87" t="s">
        <v>67</v>
      </c>
      <c r="M329" s="87" t="s">
        <v>68</v>
      </c>
      <c r="N329" s="88" t="s">
        <v>61</v>
      </c>
    </row>
    <row r="330" spans="1:14">
      <c r="A330" s="81">
        <v>45525</v>
      </c>
      <c r="B330" s="82" t="s">
        <v>398</v>
      </c>
      <c r="C330" s="82" t="s">
        <v>40</v>
      </c>
      <c r="D330" s="82" t="s">
        <v>37</v>
      </c>
      <c r="E330" s="82" t="s">
        <v>48</v>
      </c>
      <c r="F330" s="83">
        <v>2</v>
      </c>
      <c r="G330" s="84">
        <v>66.58</v>
      </c>
      <c r="H330" s="85">
        <v>0.12</v>
      </c>
      <c r="I330" s="86">
        <f t="shared" si="10"/>
        <v>117.18079999999999</v>
      </c>
      <c r="J330" s="86">
        <v>55.93</v>
      </c>
      <c r="K330" s="86">
        <f t="shared" si="11"/>
        <v>61.250799999999991</v>
      </c>
      <c r="L330" s="87" t="s">
        <v>63</v>
      </c>
      <c r="M330" s="87" t="s">
        <v>68</v>
      </c>
      <c r="N330" s="88" t="s">
        <v>69</v>
      </c>
    </row>
    <row r="331" spans="1:14">
      <c r="A331" s="81">
        <v>45525</v>
      </c>
      <c r="B331" s="82" t="s">
        <v>399</v>
      </c>
      <c r="C331" s="82" t="s">
        <v>40</v>
      </c>
      <c r="D331" s="82" t="s">
        <v>27</v>
      </c>
      <c r="E331" s="82" t="s">
        <v>35</v>
      </c>
      <c r="F331" s="83">
        <v>8</v>
      </c>
      <c r="G331" s="84">
        <v>353.73</v>
      </c>
      <c r="H331" s="85">
        <v>0.1</v>
      </c>
      <c r="I331" s="86">
        <f t="shared" si="10"/>
        <v>2546.8560000000002</v>
      </c>
      <c r="J331" s="86">
        <v>1697.9</v>
      </c>
      <c r="K331" s="86">
        <f t="shared" si="11"/>
        <v>848.95600000000013</v>
      </c>
      <c r="L331" s="87" t="s">
        <v>67</v>
      </c>
      <c r="M331" s="87" t="s">
        <v>60</v>
      </c>
      <c r="N331" s="88" t="s">
        <v>78</v>
      </c>
    </row>
    <row r="332" spans="1:14">
      <c r="A332" s="81">
        <v>45525</v>
      </c>
      <c r="B332" s="82" t="s">
        <v>400</v>
      </c>
      <c r="C332" s="82" t="s">
        <v>26</v>
      </c>
      <c r="D332" s="82" t="s">
        <v>32</v>
      </c>
      <c r="E332" s="82" t="s">
        <v>39</v>
      </c>
      <c r="F332" s="83">
        <v>10</v>
      </c>
      <c r="G332" s="84">
        <v>432.58</v>
      </c>
      <c r="H332" s="85">
        <v>0.12</v>
      </c>
      <c r="I332" s="86">
        <f t="shared" si="10"/>
        <v>3806.7040000000002</v>
      </c>
      <c r="J332" s="86">
        <v>2465.71</v>
      </c>
      <c r="K332" s="86">
        <f t="shared" si="11"/>
        <v>1340.9940000000001</v>
      </c>
      <c r="L332" s="87" t="s">
        <v>67</v>
      </c>
      <c r="M332" s="87" t="s">
        <v>68</v>
      </c>
      <c r="N332" s="88" t="s">
        <v>69</v>
      </c>
    </row>
    <row r="333" spans="1:14">
      <c r="A333" s="81">
        <v>45526</v>
      </c>
      <c r="B333" s="82" t="s">
        <v>401</v>
      </c>
      <c r="C333" s="82" t="s">
        <v>26</v>
      </c>
      <c r="D333" s="82" t="s">
        <v>32</v>
      </c>
      <c r="E333" s="82" t="s">
        <v>39</v>
      </c>
      <c r="F333" s="83">
        <v>4</v>
      </c>
      <c r="G333" s="84">
        <v>423.68</v>
      </c>
      <c r="H333" s="85">
        <v>0.12</v>
      </c>
      <c r="I333" s="86">
        <f t="shared" si="10"/>
        <v>1491.3536000000001</v>
      </c>
      <c r="J333" s="86">
        <v>965.99</v>
      </c>
      <c r="K333" s="86">
        <f t="shared" si="11"/>
        <v>525.36360000000013</v>
      </c>
      <c r="L333" s="87" t="s">
        <v>67</v>
      </c>
      <c r="M333" s="87" t="s">
        <v>68</v>
      </c>
      <c r="N333" s="88" t="s">
        <v>78</v>
      </c>
    </row>
    <row r="334" spans="1:14">
      <c r="A334" s="81">
        <v>45526</v>
      </c>
      <c r="B334" s="82" t="s">
        <v>402</v>
      </c>
      <c r="C334" s="82" t="s">
        <v>36</v>
      </c>
      <c r="D334" s="82" t="s">
        <v>32</v>
      </c>
      <c r="E334" s="82" t="s">
        <v>39</v>
      </c>
      <c r="F334" s="83">
        <v>2</v>
      </c>
      <c r="G334" s="84">
        <v>454.88</v>
      </c>
      <c r="H334" s="85">
        <v>0.05</v>
      </c>
      <c r="I334" s="86">
        <f t="shared" si="10"/>
        <v>864.27199999999993</v>
      </c>
      <c r="J334" s="86">
        <v>518.55999999999995</v>
      </c>
      <c r="K334" s="86">
        <f t="shared" si="11"/>
        <v>345.71199999999999</v>
      </c>
      <c r="L334" s="87" t="s">
        <v>59</v>
      </c>
      <c r="M334" s="87" t="s">
        <v>64</v>
      </c>
      <c r="N334" s="88" t="s">
        <v>69</v>
      </c>
    </row>
    <row r="335" spans="1:14">
      <c r="A335" s="81">
        <v>45526</v>
      </c>
      <c r="B335" s="82" t="s">
        <v>403</v>
      </c>
      <c r="C335" s="82" t="s">
        <v>36</v>
      </c>
      <c r="D335" s="82" t="s">
        <v>37</v>
      </c>
      <c r="E335" s="82" t="s">
        <v>47</v>
      </c>
      <c r="F335" s="83">
        <v>7</v>
      </c>
      <c r="G335" s="84">
        <v>121.24</v>
      </c>
      <c r="H335" s="85">
        <v>0</v>
      </c>
      <c r="I335" s="86">
        <f t="shared" si="10"/>
        <v>848.68</v>
      </c>
      <c r="J335" s="86">
        <v>390.39</v>
      </c>
      <c r="K335" s="86">
        <f t="shared" si="11"/>
        <v>458.28999999999996</v>
      </c>
      <c r="L335" s="87" t="s">
        <v>67</v>
      </c>
      <c r="M335" s="87" t="s">
        <v>68</v>
      </c>
      <c r="N335" s="88" t="s">
        <v>69</v>
      </c>
    </row>
    <row r="336" spans="1:14">
      <c r="A336" s="81">
        <v>45526</v>
      </c>
      <c r="B336" s="82" t="s">
        <v>404</v>
      </c>
      <c r="C336" s="82" t="s">
        <v>31</v>
      </c>
      <c r="D336" s="82" t="s">
        <v>32</v>
      </c>
      <c r="E336" s="82" t="s">
        <v>39</v>
      </c>
      <c r="F336" s="83">
        <v>2</v>
      </c>
      <c r="G336" s="84">
        <v>440.69</v>
      </c>
      <c r="H336" s="85">
        <v>0.08</v>
      </c>
      <c r="I336" s="86">
        <f t="shared" si="10"/>
        <v>810.86959999999999</v>
      </c>
      <c r="J336" s="86">
        <v>502.39</v>
      </c>
      <c r="K336" s="86">
        <f t="shared" si="11"/>
        <v>308.4796</v>
      </c>
      <c r="L336" s="87" t="s">
        <v>63</v>
      </c>
      <c r="M336" s="87" t="s">
        <v>60</v>
      </c>
      <c r="N336" s="88" t="s">
        <v>71</v>
      </c>
    </row>
    <row r="337" spans="1:14">
      <c r="A337" s="81">
        <v>45530</v>
      </c>
      <c r="B337" s="82" t="s">
        <v>405</v>
      </c>
      <c r="C337" s="82" t="s">
        <v>40</v>
      </c>
      <c r="D337" s="82" t="s">
        <v>27</v>
      </c>
      <c r="E337" s="82" t="s">
        <v>30</v>
      </c>
      <c r="F337" s="83">
        <v>10</v>
      </c>
      <c r="G337" s="84">
        <v>621.55999999999995</v>
      </c>
      <c r="H337" s="85">
        <v>0.1</v>
      </c>
      <c r="I337" s="86">
        <f t="shared" si="10"/>
        <v>5594.04</v>
      </c>
      <c r="J337" s="86">
        <v>3977.98</v>
      </c>
      <c r="K337" s="86">
        <f t="shared" si="11"/>
        <v>1616.06</v>
      </c>
      <c r="L337" s="87" t="s">
        <v>67</v>
      </c>
      <c r="M337" s="87" t="s">
        <v>68</v>
      </c>
      <c r="N337" s="88" t="s">
        <v>65</v>
      </c>
    </row>
    <row r="338" spans="1:14">
      <c r="A338" s="81">
        <v>45532</v>
      </c>
      <c r="B338" s="82" t="s">
        <v>406</v>
      </c>
      <c r="C338" s="82" t="s">
        <v>31</v>
      </c>
      <c r="D338" s="82" t="s">
        <v>37</v>
      </c>
      <c r="E338" s="82" t="s">
        <v>47</v>
      </c>
      <c r="F338" s="83">
        <v>9</v>
      </c>
      <c r="G338" s="84">
        <v>120.42</v>
      </c>
      <c r="H338" s="85">
        <v>0.03</v>
      </c>
      <c r="I338" s="86">
        <f t="shared" si="10"/>
        <v>1051.2665999999999</v>
      </c>
      <c r="J338" s="86">
        <v>498.54</v>
      </c>
      <c r="K338" s="86">
        <f t="shared" si="11"/>
        <v>552.72659999999996</v>
      </c>
      <c r="L338" s="87" t="s">
        <v>67</v>
      </c>
      <c r="M338" s="87" t="s">
        <v>68</v>
      </c>
      <c r="N338" s="88" t="s">
        <v>78</v>
      </c>
    </row>
    <row r="339" spans="1:14">
      <c r="A339" s="81">
        <v>45533</v>
      </c>
      <c r="B339" s="82" t="s">
        <v>407</v>
      </c>
      <c r="C339" s="82" t="s">
        <v>40</v>
      </c>
      <c r="D339" s="82" t="s">
        <v>32</v>
      </c>
      <c r="E339" s="82" t="s">
        <v>42</v>
      </c>
      <c r="F339" s="83">
        <v>4</v>
      </c>
      <c r="G339" s="84">
        <v>750.29</v>
      </c>
      <c r="H339" s="85">
        <v>0.1</v>
      </c>
      <c r="I339" s="86">
        <f t="shared" si="10"/>
        <v>2701.0439999999999</v>
      </c>
      <c r="J339" s="86">
        <v>1830.71</v>
      </c>
      <c r="K339" s="86">
        <f t="shared" si="11"/>
        <v>870.33399999999983</v>
      </c>
      <c r="L339" s="87" t="s">
        <v>59</v>
      </c>
      <c r="M339" s="87" t="s">
        <v>60</v>
      </c>
      <c r="N339" s="88" t="s">
        <v>61</v>
      </c>
    </row>
    <row r="340" spans="1:14">
      <c r="A340" s="81">
        <v>45534</v>
      </c>
      <c r="B340" s="82" t="s">
        <v>408</v>
      </c>
      <c r="C340" s="82" t="s">
        <v>36</v>
      </c>
      <c r="D340" s="82" t="s">
        <v>27</v>
      </c>
      <c r="E340" s="82" t="s">
        <v>30</v>
      </c>
      <c r="F340" s="83">
        <v>5</v>
      </c>
      <c r="G340" s="84">
        <v>641.20000000000005</v>
      </c>
      <c r="H340" s="85">
        <v>0.1</v>
      </c>
      <c r="I340" s="86">
        <f t="shared" si="10"/>
        <v>2885.4</v>
      </c>
      <c r="J340" s="86">
        <v>2051.84</v>
      </c>
      <c r="K340" s="86">
        <f t="shared" si="11"/>
        <v>833.56</v>
      </c>
      <c r="L340" s="87" t="s">
        <v>67</v>
      </c>
      <c r="M340" s="87" t="s">
        <v>60</v>
      </c>
      <c r="N340" s="88" t="s">
        <v>61</v>
      </c>
    </row>
    <row r="341" spans="1:14">
      <c r="A341" s="81">
        <v>45534</v>
      </c>
      <c r="B341" s="82" t="s">
        <v>409</v>
      </c>
      <c r="C341" s="82" t="s">
        <v>36</v>
      </c>
      <c r="D341" s="82" t="s">
        <v>37</v>
      </c>
      <c r="E341" s="82" t="s">
        <v>48</v>
      </c>
      <c r="F341" s="83">
        <v>6</v>
      </c>
      <c r="G341" s="84">
        <v>68.84</v>
      </c>
      <c r="H341" s="85">
        <v>0.03</v>
      </c>
      <c r="I341" s="86">
        <f t="shared" si="10"/>
        <v>400.64879999999999</v>
      </c>
      <c r="J341" s="86">
        <v>173.48</v>
      </c>
      <c r="K341" s="86">
        <f t="shared" si="11"/>
        <v>227.1688</v>
      </c>
      <c r="L341" s="87" t="s">
        <v>67</v>
      </c>
      <c r="M341" s="87" t="s">
        <v>68</v>
      </c>
      <c r="N341" s="88" t="s">
        <v>65</v>
      </c>
    </row>
    <row r="342" spans="1:14">
      <c r="A342" s="81">
        <v>45534</v>
      </c>
      <c r="B342" s="82" t="s">
        <v>410</v>
      </c>
      <c r="C342" s="82" t="s">
        <v>40</v>
      </c>
      <c r="D342" s="82" t="s">
        <v>37</v>
      </c>
      <c r="E342" s="82" t="s">
        <v>47</v>
      </c>
      <c r="F342" s="83">
        <v>12</v>
      </c>
      <c r="G342" s="84">
        <v>119.49</v>
      </c>
      <c r="H342" s="85">
        <v>0</v>
      </c>
      <c r="I342" s="86">
        <f t="shared" si="10"/>
        <v>1433.8799999999999</v>
      </c>
      <c r="J342" s="86">
        <v>659.58</v>
      </c>
      <c r="K342" s="86">
        <f t="shared" si="11"/>
        <v>774.29999999999984</v>
      </c>
      <c r="L342" s="87" t="s">
        <v>63</v>
      </c>
      <c r="M342" s="87" t="s">
        <v>68</v>
      </c>
      <c r="N342" s="88" t="s">
        <v>61</v>
      </c>
    </row>
    <row r="343" spans="1:14">
      <c r="A343" s="81">
        <v>45536</v>
      </c>
      <c r="B343" s="82" t="s">
        <v>411</v>
      </c>
      <c r="C343" s="82" t="s">
        <v>26</v>
      </c>
      <c r="D343" s="82" t="s">
        <v>37</v>
      </c>
      <c r="E343" s="82" t="s">
        <v>48</v>
      </c>
      <c r="F343" s="83">
        <v>10</v>
      </c>
      <c r="G343" s="84">
        <v>67.89</v>
      </c>
      <c r="H343" s="85">
        <v>0.05</v>
      </c>
      <c r="I343" s="86">
        <f t="shared" si="10"/>
        <v>644.95499999999993</v>
      </c>
      <c r="J343" s="86">
        <v>285.14</v>
      </c>
      <c r="K343" s="86">
        <f t="shared" si="11"/>
        <v>359.81499999999994</v>
      </c>
      <c r="L343" s="87" t="s">
        <v>59</v>
      </c>
      <c r="M343" s="87" t="s">
        <v>68</v>
      </c>
      <c r="N343" s="88" t="s">
        <v>69</v>
      </c>
    </row>
    <row r="344" spans="1:14">
      <c r="A344" s="81">
        <v>45538</v>
      </c>
      <c r="B344" s="82" t="s">
        <v>412</v>
      </c>
      <c r="C344" s="82" t="s">
        <v>40</v>
      </c>
      <c r="D344" s="82" t="s">
        <v>27</v>
      </c>
      <c r="E344" s="82" t="s">
        <v>30</v>
      </c>
      <c r="F344" s="83">
        <v>2</v>
      </c>
      <c r="G344" s="84">
        <v>612.32000000000005</v>
      </c>
      <c r="H344" s="85">
        <v>0</v>
      </c>
      <c r="I344" s="86">
        <f t="shared" si="10"/>
        <v>1224.6400000000001</v>
      </c>
      <c r="J344" s="86">
        <v>783.77</v>
      </c>
      <c r="K344" s="86">
        <f t="shared" si="11"/>
        <v>440.87000000000012</v>
      </c>
      <c r="L344" s="87" t="s">
        <v>63</v>
      </c>
      <c r="M344" s="87" t="s">
        <v>68</v>
      </c>
      <c r="N344" s="88" t="s">
        <v>69</v>
      </c>
    </row>
    <row r="345" spans="1:14">
      <c r="A345" s="81">
        <v>45540</v>
      </c>
      <c r="B345" s="82" t="s">
        <v>413</v>
      </c>
      <c r="C345" s="82" t="s">
        <v>26</v>
      </c>
      <c r="D345" s="82" t="s">
        <v>32</v>
      </c>
      <c r="E345" s="82" t="s">
        <v>39</v>
      </c>
      <c r="F345" s="83">
        <v>6</v>
      </c>
      <c r="G345" s="84">
        <v>453.51</v>
      </c>
      <c r="H345" s="85">
        <v>0.08</v>
      </c>
      <c r="I345" s="86">
        <f t="shared" si="10"/>
        <v>2503.3751999999999</v>
      </c>
      <c r="J345" s="86">
        <v>1551</v>
      </c>
      <c r="K345" s="86">
        <f t="shared" si="11"/>
        <v>952.37519999999995</v>
      </c>
      <c r="L345" s="87" t="s">
        <v>59</v>
      </c>
      <c r="M345" s="87" t="s">
        <v>64</v>
      </c>
      <c r="N345" s="88" t="s">
        <v>74</v>
      </c>
    </row>
    <row r="346" spans="1:14">
      <c r="A346" s="81">
        <v>45541</v>
      </c>
      <c r="B346" s="82" t="s">
        <v>414</v>
      </c>
      <c r="C346" s="82" t="s">
        <v>26</v>
      </c>
      <c r="D346" s="82" t="s">
        <v>37</v>
      </c>
      <c r="E346" s="82" t="s">
        <v>48</v>
      </c>
      <c r="F346" s="83">
        <v>6</v>
      </c>
      <c r="G346" s="84">
        <v>70.5</v>
      </c>
      <c r="H346" s="85">
        <v>0.1</v>
      </c>
      <c r="I346" s="86">
        <f t="shared" si="10"/>
        <v>380.7</v>
      </c>
      <c r="J346" s="86">
        <v>177.66</v>
      </c>
      <c r="K346" s="86">
        <f t="shared" si="11"/>
        <v>203.04</v>
      </c>
      <c r="L346" s="87" t="s">
        <v>63</v>
      </c>
      <c r="M346" s="87" t="s">
        <v>60</v>
      </c>
      <c r="N346" s="88" t="s">
        <v>78</v>
      </c>
    </row>
    <row r="347" spans="1:14">
      <c r="A347" s="81">
        <v>45541</v>
      </c>
      <c r="B347" s="82" t="s">
        <v>415</v>
      </c>
      <c r="C347" s="82" t="s">
        <v>26</v>
      </c>
      <c r="D347" s="82" t="s">
        <v>27</v>
      </c>
      <c r="E347" s="82" t="s">
        <v>35</v>
      </c>
      <c r="F347" s="83">
        <v>5</v>
      </c>
      <c r="G347" s="84">
        <v>372.59</v>
      </c>
      <c r="H347" s="85">
        <v>0.08</v>
      </c>
      <c r="I347" s="86">
        <f t="shared" si="10"/>
        <v>1713.914</v>
      </c>
      <c r="J347" s="86">
        <v>1117.77</v>
      </c>
      <c r="K347" s="86">
        <f t="shared" si="11"/>
        <v>596.14400000000001</v>
      </c>
      <c r="L347" s="87" t="s">
        <v>67</v>
      </c>
      <c r="M347" s="87" t="s">
        <v>64</v>
      </c>
      <c r="N347" s="88" t="s">
        <v>69</v>
      </c>
    </row>
    <row r="348" spans="1:14">
      <c r="A348" s="81">
        <v>45542</v>
      </c>
      <c r="B348" s="82" t="s">
        <v>416</v>
      </c>
      <c r="C348" s="82" t="s">
        <v>31</v>
      </c>
      <c r="D348" s="82" t="s">
        <v>32</v>
      </c>
      <c r="E348" s="82" t="s">
        <v>39</v>
      </c>
      <c r="F348" s="83">
        <v>8</v>
      </c>
      <c r="G348" s="84">
        <v>427.42</v>
      </c>
      <c r="H348" s="85">
        <v>0.03</v>
      </c>
      <c r="I348" s="86">
        <f t="shared" si="10"/>
        <v>3316.7791999999999</v>
      </c>
      <c r="J348" s="86">
        <v>1949.04</v>
      </c>
      <c r="K348" s="86">
        <f t="shared" si="11"/>
        <v>1367.7392</v>
      </c>
      <c r="L348" s="87" t="s">
        <v>63</v>
      </c>
      <c r="M348" s="87" t="s">
        <v>60</v>
      </c>
      <c r="N348" s="88" t="s">
        <v>74</v>
      </c>
    </row>
    <row r="349" spans="1:14">
      <c r="A349" s="81">
        <v>45544</v>
      </c>
      <c r="B349" s="82" t="s">
        <v>417</v>
      </c>
      <c r="C349" s="82" t="s">
        <v>26</v>
      </c>
      <c r="D349" s="82" t="s">
        <v>27</v>
      </c>
      <c r="E349" s="82" t="s">
        <v>35</v>
      </c>
      <c r="F349" s="83">
        <v>11</v>
      </c>
      <c r="G349" s="84">
        <v>357.09</v>
      </c>
      <c r="H349" s="85">
        <v>0.08</v>
      </c>
      <c r="I349" s="86">
        <f t="shared" si="10"/>
        <v>3613.7507999999998</v>
      </c>
      <c r="J349" s="86">
        <v>2356.79</v>
      </c>
      <c r="K349" s="86">
        <f t="shared" si="11"/>
        <v>1256.9607999999998</v>
      </c>
      <c r="L349" s="87" t="s">
        <v>59</v>
      </c>
      <c r="M349" s="87" t="s">
        <v>68</v>
      </c>
      <c r="N349" s="88" t="s">
        <v>74</v>
      </c>
    </row>
    <row r="350" spans="1:14">
      <c r="A350" s="81">
        <v>45545</v>
      </c>
      <c r="B350" s="82" t="s">
        <v>418</v>
      </c>
      <c r="C350" s="82" t="s">
        <v>26</v>
      </c>
      <c r="D350" s="82" t="s">
        <v>37</v>
      </c>
      <c r="E350" s="82" t="s">
        <v>48</v>
      </c>
      <c r="F350" s="83">
        <v>3</v>
      </c>
      <c r="G350" s="84">
        <v>71.91</v>
      </c>
      <c r="H350" s="85">
        <v>0.08</v>
      </c>
      <c r="I350" s="86">
        <f t="shared" si="10"/>
        <v>198.4716</v>
      </c>
      <c r="J350" s="86">
        <v>90.61</v>
      </c>
      <c r="K350" s="86">
        <f t="shared" si="11"/>
        <v>107.8616</v>
      </c>
      <c r="L350" s="87" t="s">
        <v>67</v>
      </c>
      <c r="M350" s="87" t="s">
        <v>68</v>
      </c>
      <c r="N350" s="88" t="s">
        <v>74</v>
      </c>
    </row>
    <row r="351" spans="1:14">
      <c r="A351" s="81">
        <v>45546</v>
      </c>
      <c r="B351" s="82" t="s">
        <v>419</v>
      </c>
      <c r="C351" s="82" t="s">
        <v>36</v>
      </c>
      <c r="D351" s="82" t="s">
        <v>27</v>
      </c>
      <c r="E351" s="82" t="s">
        <v>35</v>
      </c>
      <c r="F351" s="83">
        <v>3</v>
      </c>
      <c r="G351" s="84">
        <v>367.02</v>
      </c>
      <c r="H351" s="85">
        <v>0.05</v>
      </c>
      <c r="I351" s="86">
        <f t="shared" si="10"/>
        <v>1046.0069999999998</v>
      </c>
      <c r="J351" s="86">
        <v>660.64</v>
      </c>
      <c r="K351" s="86">
        <f t="shared" si="11"/>
        <v>385.36699999999985</v>
      </c>
      <c r="L351" s="87" t="s">
        <v>63</v>
      </c>
      <c r="M351" s="87" t="s">
        <v>64</v>
      </c>
      <c r="N351" s="88" t="s">
        <v>61</v>
      </c>
    </row>
    <row r="352" spans="1:14">
      <c r="A352" s="81">
        <v>45547</v>
      </c>
      <c r="B352" s="82" t="s">
        <v>420</v>
      </c>
      <c r="C352" s="82" t="s">
        <v>31</v>
      </c>
      <c r="D352" s="82" t="s">
        <v>27</v>
      </c>
      <c r="E352" s="82" t="s">
        <v>25</v>
      </c>
      <c r="F352" s="83">
        <v>6</v>
      </c>
      <c r="G352" s="84">
        <v>1216.43</v>
      </c>
      <c r="H352" s="85">
        <v>0.05</v>
      </c>
      <c r="I352" s="86">
        <f t="shared" si="10"/>
        <v>6933.6509999999998</v>
      </c>
      <c r="J352" s="86">
        <v>4963.03</v>
      </c>
      <c r="K352" s="86">
        <f t="shared" si="11"/>
        <v>1970.6210000000001</v>
      </c>
      <c r="L352" s="87" t="s">
        <v>67</v>
      </c>
      <c r="M352" s="87" t="s">
        <v>64</v>
      </c>
      <c r="N352" s="88" t="s">
        <v>61</v>
      </c>
    </row>
    <row r="353" spans="1:14">
      <c r="A353" s="81">
        <v>45548</v>
      </c>
      <c r="B353" s="82" t="s">
        <v>421</v>
      </c>
      <c r="C353" s="82" t="s">
        <v>36</v>
      </c>
      <c r="D353" s="82" t="s">
        <v>32</v>
      </c>
      <c r="E353" s="82" t="s">
        <v>46</v>
      </c>
      <c r="F353" s="83">
        <v>6</v>
      </c>
      <c r="G353" s="84">
        <v>92.29</v>
      </c>
      <c r="H353" s="85">
        <v>0.05</v>
      </c>
      <c r="I353" s="86">
        <f t="shared" si="10"/>
        <v>526.053</v>
      </c>
      <c r="J353" s="86">
        <v>265.8</v>
      </c>
      <c r="K353" s="86">
        <f t="shared" si="11"/>
        <v>260.25299999999999</v>
      </c>
      <c r="L353" s="87" t="s">
        <v>67</v>
      </c>
      <c r="M353" s="87" t="s">
        <v>60</v>
      </c>
      <c r="N353" s="88" t="s">
        <v>74</v>
      </c>
    </row>
    <row r="354" spans="1:14">
      <c r="A354" s="81">
        <v>45552</v>
      </c>
      <c r="B354" s="82" t="s">
        <v>422</v>
      </c>
      <c r="C354" s="82" t="s">
        <v>40</v>
      </c>
      <c r="D354" s="82" t="s">
        <v>32</v>
      </c>
      <c r="E354" s="82" t="s">
        <v>46</v>
      </c>
      <c r="F354" s="83">
        <v>4</v>
      </c>
      <c r="G354" s="84">
        <v>96.77</v>
      </c>
      <c r="H354" s="85">
        <v>0.1</v>
      </c>
      <c r="I354" s="86">
        <f t="shared" si="10"/>
        <v>348.37200000000001</v>
      </c>
      <c r="J354" s="86">
        <v>185.8</v>
      </c>
      <c r="K354" s="86">
        <f t="shared" si="11"/>
        <v>162.572</v>
      </c>
      <c r="L354" s="87" t="s">
        <v>59</v>
      </c>
      <c r="M354" s="87" t="s">
        <v>68</v>
      </c>
      <c r="N354" s="88" t="s">
        <v>65</v>
      </c>
    </row>
    <row r="355" spans="1:14">
      <c r="A355" s="81">
        <v>45552</v>
      </c>
      <c r="B355" s="82" t="s">
        <v>423</v>
      </c>
      <c r="C355" s="82" t="s">
        <v>26</v>
      </c>
      <c r="D355" s="82" t="s">
        <v>32</v>
      </c>
      <c r="E355" s="82" t="s">
        <v>46</v>
      </c>
      <c r="F355" s="83">
        <v>2</v>
      </c>
      <c r="G355" s="84">
        <v>92.52</v>
      </c>
      <c r="H355" s="85">
        <v>0.12</v>
      </c>
      <c r="I355" s="86">
        <f t="shared" si="10"/>
        <v>162.83519999999999</v>
      </c>
      <c r="J355" s="86">
        <v>88.82</v>
      </c>
      <c r="K355" s="86">
        <f t="shared" si="11"/>
        <v>74.015199999999993</v>
      </c>
      <c r="L355" s="87" t="s">
        <v>63</v>
      </c>
      <c r="M355" s="87" t="s">
        <v>68</v>
      </c>
      <c r="N355" s="88" t="s">
        <v>65</v>
      </c>
    </row>
    <row r="356" spans="1:14">
      <c r="A356" s="81">
        <v>45553</v>
      </c>
      <c r="B356" s="82" t="s">
        <v>424</v>
      </c>
      <c r="C356" s="82" t="s">
        <v>26</v>
      </c>
      <c r="D356" s="82" t="s">
        <v>27</v>
      </c>
      <c r="E356" s="82" t="s">
        <v>35</v>
      </c>
      <c r="F356" s="83">
        <v>2</v>
      </c>
      <c r="G356" s="84">
        <v>354.56</v>
      </c>
      <c r="H356" s="85">
        <v>0.12</v>
      </c>
      <c r="I356" s="86">
        <f t="shared" si="10"/>
        <v>624.02560000000005</v>
      </c>
      <c r="J356" s="86">
        <v>425.47</v>
      </c>
      <c r="K356" s="86">
        <f t="shared" si="11"/>
        <v>198.55560000000003</v>
      </c>
      <c r="L356" s="87" t="s">
        <v>63</v>
      </c>
      <c r="M356" s="87" t="s">
        <v>60</v>
      </c>
      <c r="N356" s="88" t="s">
        <v>71</v>
      </c>
    </row>
    <row r="357" spans="1:14">
      <c r="A357" s="81">
        <v>45554</v>
      </c>
      <c r="B357" s="82" t="s">
        <v>425</v>
      </c>
      <c r="C357" s="82" t="s">
        <v>31</v>
      </c>
      <c r="D357" s="82" t="s">
        <v>37</v>
      </c>
      <c r="E357" s="82" t="s">
        <v>47</v>
      </c>
      <c r="F357" s="83">
        <v>3</v>
      </c>
      <c r="G357" s="84">
        <v>123.87</v>
      </c>
      <c r="H357" s="85">
        <v>0.03</v>
      </c>
      <c r="I357" s="86">
        <f t="shared" si="10"/>
        <v>360.46170000000001</v>
      </c>
      <c r="J357" s="86">
        <v>170.94</v>
      </c>
      <c r="K357" s="86">
        <f t="shared" si="11"/>
        <v>189.52170000000001</v>
      </c>
      <c r="L357" s="87" t="s">
        <v>59</v>
      </c>
      <c r="M357" s="87" t="s">
        <v>68</v>
      </c>
      <c r="N357" s="88" t="s">
        <v>69</v>
      </c>
    </row>
    <row r="358" spans="1:14">
      <c r="A358" s="81">
        <v>45554</v>
      </c>
      <c r="B358" s="82" t="s">
        <v>426</v>
      </c>
      <c r="C358" s="82" t="s">
        <v>26</v>
      </c>
      <c r="D358" s="82" t="s">
        <v>32</v>
      </c>
      <c r="E358" s="82" t="s">
        <v>46</v>
      </c>
      <c r="F358" s="83">
        <v>5</v>
      </c>
      <c r="G358" s="84">
        <v>99.73</v>
      </c>
      <c r="H358" s="85">
        <v>0.12</v>
      </c>
      <c r="I358" s="86">
        <f t="shared" si="10"/>
        <v>438.81200000000001</v>
      </c>
      <c r="J358" s="86">
        <v>239.35</v>
      </c>
      <c r="K358" s="86">
        <f t="shared" si="11"/>
        <v>199.46200000000002</v>
      </c>
      <c r="L358" s="87" t="s">
        <v>63</v>
      </c>
      <c r="M358" s="87" t="s">
        <v>60</v>
      </c>
      <c r="N358" s="88" t="s">
        <v>78</v>
      </c>
    </row>
    <row r="359" spans="1:14">
      <c r="A359" s="81">
        <v>45555</v>
      </c>
      <c r="B359" s="82" t="s">
        <v>427</v>
      </c>
      <c r="C359" s="82" t="s">
        <v>26</v>
      </c>
      <c r="D359" s="82" t="s">
        <v>37</v>
      </c>
      <c r="E359" s="82" t="s">
        <v>47</v>
      </c>
      <c r="F359" s="83">
        <v>2</v>
      </c>
      <c r="G359" s="84">
        <v>124.12</v>
      </c>
      <c r="H359" s="85">
        <v>0.12</v>
      </c>
      <c r="I359" s="86">
        <f t="shared" si="10"/>
        <v>218.4512</v>
      </c>
      <c r="J359" s="86">
        <v>114.19</v>
      </c>
      <c r="K359" s="86">
        <f t="shared" si="11"/>
        <v>104.2612</v>
      </c>
      <c r="L359" s="87" t="s">
        <v>67</v>
      </c>
      <c r="M359" s="87" t="s">
        <v>64</v>
      </c>
      <c r="N359" s="88" t="s">
        <v>69</v>
      </c>
    </row>
    <row r="360" spans="1:14">
      <c r="A360" s="81">
        <v>45555</v>
      </c>
      <c r="B360" s="82" t="s">
        <v>428</v>
      </c>
      <c r="C360" s="82" t="s">
        <v>26</v>
      </c>
      <c r="D360" s="82" t="s">
        <v>32</v>
      </c>
      <c r="E360" s="82" t="s">
        <v>39</v>
      </c>
      <c r="F360" s="83">
        <v>2</v>
      </c>
      <c r="G360" s="84">
        <v>429.8</v>
      </c>
      <c r="H360" s="85">
        <v>0.12</v>
      </c>
      <c r="I360" s="86">
        <f t="shared" si="10"/>
        <v>756.44799999999998</v>
      </c>
      <c r="J360" s="86">
        <v>489.97</v>
      </c>
      <c r="K360" s="86">
        <f t="shared" si="11"/>
        <v>266.47799999999995</v>
      </c>
      <c r="L360" s="87" t="s">
        <v>63</v>
      </c>
      <c r="M360" s="87" t="s">
        <v>68</v>
      </c>
      <c r="N360" s="88" t="s">
        <v>71</v>
      </c>
    </row>
    <row r="361" spans="1:14">
      <c r="A361" s="81">
        <v>45556</v>
      </c>
      <c r="B361" s="82" t="s">
        <v>429</v>
      </c>
      <c r="C361" s="82" t="s">
        <v>31</v>
      </c>
      <c r="D361" s="82" t="s">
        <v>32</v>
      </c>
      <c r="E361" s="82" t="s">
        <v>42</v>
      </c>
      <c r="F361" s="83">
        <v>6</v>
      </c>
      <c r="G361" s="84">
        <v>763.06</v>
      </c>
      <c r="H361" s="85">
        <v>0.1</v>
      </c>
      <c r="I361" s="86">
        <f t="shared" si="10"/>
        <v>4120.5239999999994</v>
      </c>
      <c r="J361" s="86">
        <v>2792.8</v>
      </c>
      <c r="K361" s="86">
        <f t="shared" si="11"/>
        <v>1327.7239999999993</v>
      </c>
      <c r="L361" s="87" t="s">
        <v>59</v>
      </c>
      <c r="M361" s="87" t="s">
        <v>60</v>
      </c>
      <c r="N361" s="88" t="s">
        <v>71</v>
      </c>
    </row>
    <row r="362" spans="1:14">
      <c r="A362" s="81">
        <v>45556</v>
      </c>
      <c r="B362" s="82" t="s">
        <v>430</v>
      </c>
      <c r="C362" s="82" t="s">
        <v>40</v>
      </c>
      <c r="D362" s="82" t="s">
        <v>27</v>
      </c>
      <c r="E362" s="82" t="s">
        <v>25</v>
      </c>
      <c r="F362" s="83">
        <v>6</v>
      </c>
      <c r="G362" s="84">
        <v>1132.98</v>
      </c>
      <c r="H362" s="85">
        <v>0.03</v>
      </c>
      <c r="I362" s="86">
        <f t="shared" si="10"/>
        <v>6593.9435999999996</v>
      </c>
      <c r="J362" s="86">
        <v>4622.5600000000004</v>
      </c>
      <c r="K362" s="86">
        <f t="shared" si="11"/>
        <v>1971.3835999999992</v>
      </c>
      <c r="L362" s="87" t="s">
        <v>63</v>
      </c>
      <c r="M362" s="87" t="s">
        <v>64</v>
      </c>
      <c r="N362" s="88" t="s">
        <v>65</v>
      </c>
    </row>
    <row r="363" spans="1:14">
      <c r="A363" s="81">
        <v>45557</v>
      </c>
      <c r="B363" s="82" t="s">
        <v>431</v>
      </c>
      <c r="C363" s="82" t="s">
        <v>26</v>
      </c>
      <c r="D363" s="82" t="s">
        <v>32</v>
      </c>
      <c r="E363" s="82" t="s">
        <v>39</v>
      </c>
      <c r="F363" s="83">
        <v>4</v>
      </c>
      <c r="G363" s="84">
        <v>414.66</v>
      </c>
      <c r="H363" s="85">
        <v>0.08</v>
      </c>
      <c r="I363" s="86">
        <f t="shared" si="10"/>
        <v>1525.9488000000001</v>
      </c>
      <c r="J363" s="86">
        <v>945.42</v>
      </c>
      <c r="K363" s="86">
        <f t="shared" si="11"/>
        <v>580.52880000000016</v>
      </c>
      <c r="L363" s="87" t="s">
        <v>59</v>
      </c>
      <c r="M363" s="87" t="s">
        <v>64</v>
      </c>
      <c r="N363" s="88" t="s">
        <v>78</v>
      </c>
    </row>
    <row r="364" spans="1:14">
      <c r="A364" s="81">
        <v>45558</v>
      </c>
      <c r="B364" s="82" t="s">
        <v>432</v>
      </c>
      <c r="C364" s="82" t="s">
        <v>36</v>
      </c>
      <c r="D364" s="82" t="s">
        <v>27</v>
      </c>
      <c r="E364" s="82" t="s">
        <v>30</v>
      </c>
      <c r="F364" s="83">
        <v>6</v>
      </c>
      <c r="G364" s="84">
        <v>630.65</v>
      </c>
      <c r="H364" s="85">
        <v>0.03</v>
      </c>
      <c r="I364" s="86">
        <f t="shared" si="10"/>
        <v>3670.3829999999994</v>
      </c>
      <c r="J364" s="86">
        <v>2421.6999999999998</v>
      </c>
      <c r="K364" s="86">
        <f t="shared" si="11"/>
        <v>1248.6829999999995</v>
      </c>
      <c r="L364" s="87" t="s">
        <v>59</v>
      </c>
      <c r="M364" s="87" t="s">
        <v>68</v>
      </c>
      <c r="N364" s="88" t="s">
        <v>65</v>
      </c>
    </row>
    <row r="365" spans="1:14">
      <c r="A365" s="81">
        <v>45559</v>
      </c>
      <c r="B365" s="82" t="s">
        <v>433</v>
      </c>
      <c r="C365" s="82" t="s">
        <v>40</v>
      </c>
      <c r="D365" s="82" t="s">
        <v>32</v>
      </c>
      <c r="E365" s="82" t="s">
        <v>42</v>
      </c>
      <c r="F365" s="83">
        <v>5</v>
      </c>
      <c r="G365" s="84">
        <v>762.66</v>
      </c>
      <c r="H365" s="85">
        <v>0.1</v>
      </c>
      <c r="I365" s="86">
        <f t="shared" si="10"/>
        <v>3431.97</v>
      </c>
      <c r="J365" s="86">
        <v>2326.11</v>
      </c>
      <c r="K365" s="86">
        <f t="shared" si="11"/>
        <v>1105.8599999999997</v>
      </c>
      <c r="L365" s="87" t="s">
        <v>67</v>
      </c>
      <c r="M365" s="87" t="s">
        <v>60</v>
      </c>
      <c r="N365" s="88" t="s">
        <v>71</v>
      </c>
    </row>
    <row r="366" spans="1:14">
      <c r="A366" s="81">
        <v>45560</v>
      </c>
      <c r="B366" s="82" t="s">
        <v>434</v>
      </c>
      <c r="C366" s="82" t="s">
        <v>31</v>
      </c>
      <c r="D366" s="82" t="s">
        <v>32</v>
      </c>
      <c r="E366" s="82" t="s">
        <v>42</v>
      </c>
      <c r="F366" s="83">
        <v>6</v>
      </c>
      <c r="G366" s="84">
        <v>799.88</v>
      </c>
      <c r="H366" s="85">
        <v>0.08</v>
      </c>
      <c r="I366" s="86">
        <f t="shared" si="10"/>
        <v>4415.3375999999998</v>
      </c>
      <c r="J366" s="86">
        <v>2927.56</v>
      </c>
      <c r="K366" s="86">
        <f t="shared" si="11"/>
        <v>1487.7775999999999</v>
      </c>
      <c r="L366" s="87" t="s">
        <v>63</v>
      </c>
      <c r="M366" s="87" t="s">
        <v>64</v>
      </c>
      <c r="N366" s="88" t="s">
        <v>69</v>
      </c>
    </row>
    <row r="367" spans="1:14">
      <c r="A367" s="81">
        <v>45561</v>
      </c>
      <c r="B367" s="82" t="s">
        <v>435</v>
      </c>
      <c r="C367" s="82" t="s">
        <v>26</v>
      </c>
      <c r="D367" s="82" t="s">
        <v>27</v>
      </c>
      <c r="E367" s="82" t="s">
        <v>35</v>
      </c>
      <c r="F367" s="83">
        <v>13</v>
      </c>
      <c r="G367" s="84">
        <v>381.54</v>
      </c>
      <c r="H367" s="85">
        <v>0.08</v>
      </c>
      <c r="I367" s="86">
        <f t="shared" si="10"/>
        <v>4563.2184000000007</v>
      </c>
      <c r="J367" s="86">
        <v>2976.01</v>
      </c>
      <c r="K367" s="86">
        <f t="shared" si="11"/>
        <v>1587.2084000000004</v>
      </c>
      <c r="L367" s="87" t="s">
        <v>67</v>
      </c>
      <c r="M367" s="87" t="s">
        <v>68</v>
      </c>
      <c r="N367" s="88" t="s">
        <v>78</v>
      </c>
    </row>
    <row r="368" spans="1:14">
      <c r="A368" s="81">
        <v>45561</v>
      </c>
      <c r="B368" s="82" t="s">
        <v>436</v>
      </c>
      <c r="C368" s="82" t="s">
        <v>36</v>
      </c>
      <c r="D368" s="82" t="s">
        <v>27</v>
      </c>
      <c r="E368" s="82" t="s">
        <v>30</v>
      </c>
      <c r="F368" s="83">
        <v>3</v>
      </c>
      <c r="G368" s="84">
        <v>623.54999999999995</v>
      </c>
      <c r="H368" s="85">
        <v>0.08</v>
      </c>
      <c r="I368" s="86">
        <f t="shared" si="10"/>
        <v>1720.998</v>
      </c>
      <c r="J368" s="86">
        <v>1197.22</v>
      </c>
      <c r="K368" s="86">
        <f t="shared" si="11"/>
        <v>523.77800000000002</v>
      </c>
      <c r="L368" s="87" t="s">
        <v>67</v>
      </c>
      <c r="M368" s="87" t="s">
        <v>68</v>
      </c>
      <c r="N368" s="88" t="s">
        <v>61</v>
      </c>
    </row>
    <row r="369" spans="1:14">
      <c r="A369" s="81">
        <v>45562</v>
      </c>
      <c r="B369" s="82" t="s">
        <v>437</v>
      </c>
      <c r="C369" s="82" t="s">
        <v>26</v>
      </c>
      <c r="D369" s="82" t="s">
        <v>27</v>
      </c>
      <c r="E369" s="82" t="s">
        <v>35</v>
      </c>
      <c r="F369" s="83">
        <v>3</v>
      </c>
      <c r="G369" s="84">
        <v>352.09</v>
      </c>
      <c r="H369" s="85">
        <v>0.12</v>
      </c>
      <c r="I369" s="86">
        <f t="shared" si="10"/>
        <v>929.51760000000002</v>
      </c>
      <c r="J369" s="86">
        <v>633.76</v>
      </c>
      <c r="K369" s="86">
        <f t="shared" si="11"/>
        <v>295.75760000000002</v>
      </c>
      <c r="L369" s="87" t="s">
        <v>63</v>
      </c>
      <c r="M369" s="87" t="s">
        <v>64</v>
      </c>
      <c r="N369" s="88" t="s">
        <v>71</v>
      </c>
    </row>
    <row r="370" spans="1:14">
      <c r="A370" s="81">
        <v>45563</v>
      </c>
      <c r="B370" s="82" t="s">
        <v>438</v>
      </c>
      <c r="C370" s="82" t="s">
        <v>26</v>
      </c>
      <c r="D370" s="82" t="s">
        <v>32</v>
      </c>
      <c r="E370" s="82" t="s">
        <v>39</v>
      </c>
      <c r="F370" s="83">
        <v>6</v>
      </c>
      <c r="G370" s="84">
        <v>437.25</v>
      </c>
      <c r="H370" s="85">
        <v>0.12</v>
      </c>
      <c r="I370" s="86">
        <f t="shared" si="10"/>
        <v>2308.6799999999998</v>
      </c>
      <c r="J370" s="86">
        <v>1495.4</v>
      </c>
      <c r="K370" s="86">
        <f t="shared" si="11"/>
        <v>813.27999999999975</v>
      </c>
      <c r="L370" s="87" t="s">
        <v>59</v>
      </c>
      <c r="M370" s="87" t="s">
        <v>64</v>
      </c>
      <c r="N370" s="88" t="s">
        <v>71</v>
      </c>
    </row>
    <row r="371" spans="1:14">
      <c r="A371" s="81">
        <v>45563</v>
      </c>
      <c r="B371" s="82" t="s">
        <v>439</v>
      </c>
      <c r="C371" s="82" t="s">
        <v>36</v>
      </c>
      <c r="D371" s="82" t="s">
        <v>32</v>
      </c>
      <c r="E371" s="82" t="s">
        <v>46</v>
      </c>
      <c r="F371" s="83">
        <v>10</v>
      </c>
      <c r="G371" s="84">
        <v>100.25</v>
      </c>
      <c r="H371" s="85">
        <v>0.08</v>
      </c>
      <c r="I371" s="86">
        <f t="shared" si="10"/>
        <v>922.30000000000007</v>
      </c>
      <c r="J371" s="86">
        <v>481.2</v>
      </c>
      <c r="K371" s="86">
        <f t="shared" si="11"/>
        <v>441.10000000000008</v>
      </c>
      <c r="L371" s="87" t="s">
        <v>67</v>
      </c>
      <c r="M371" s="87" t="s">
        <v>68</v>
      </c>
      <c r="N371" s="88" t="s">
        <v>71</v>
      </c>
    </row>
    <row r="372" spans="1:14">
      <c r="A372" s="81">
        <v>45563</v>
      </c>
      <c r="B372" s="82" t="s">
        <v>440</v>
      </c>
      <c r="C372" s="82" t="s">
        <v>40</v>
      </c>
      <c r="D372" s="82" t="s">
        <v>32</v>
      </c>
      <c r="E372" s="82" t="s">
        <v>42</v>
      </c>
      <c r="F372" s="83">
        <v>8</v>
      </c>
      <c r="G372" s="84">
        <v>790.49</v>
      </c>
      <c r="H372" s="85">
        <v>0.1</v>
      </c>
      <c r="I372" s="86">
        <f t="shared" si="10"/>
        <v>5691.5280000000002</v>
      </c>
      <c r="J372" s="86">
        <v>3857.59</v>
      </c>
      <c r="K372" s="86">
        <f t="shared" si="11"/>
        <v>1833.9380000000001</v>
      </c>
      <c r="L372" s="87" t="s">
        <v>67</v>
      </c>
      <c r="M372" s="87" t="s">
        <v>60</v>
      </c>
      <c r="N372" s="88" t="s">
        <v>61</v>
      </c>
    </row>
    <row r="373" spans="1:14">
      <c r="A373" s="81">
        <v>45565</v>
      </c>
      <c r="B373" s="82" t="s">
        <v>441</v>
      </c>
      <c r="C373" s="82" t="s">
        <v>40</v>
      </c>
      <c r="D373" s="82" t="s">
        <v>37</v>
      </c>
      <c r="E373" s="82" t="s">
        <v>47</v>
      </c>
      <c r="F373" s="83">
        <v>8</v>
      </c>
      <c r="G373" s="84">
        <v>119.42</v>
      </c>
      <c r="H373" s="85">
        <v>0.03</v>
      </c>
      <c r="I373" s="86">
        <f t="shared" si="10"/>
        <v>926.69920000000002</v>
      </c>
      <c r="J373" s="86">
        <v>439.47</v>
      </c>
      <c r="K373" s="86">
        <f t="shared" si="11"/>
        <v>487.22919999999999</v>
      </c>
      <c r="L373" s="87" t="s">
        <v>63</v>
      </c>
      <c r="M373" s="87" t="s">
        <v>64</v>
      </c>
      <c r="N373" s="88" t="s">
        <v>65</v>
      </c>
    </row>
    <row r="374" spans="1:14">
      <c r="A374" s="81">
        <v>45566</v>
      </c>
      <c r="B374" s="82" t="s">
        <v>442</v>
      </c>
      <c r="C374" s="82" t="s">
        <v>31</v>
      </c>
      <c r="D374" s="82" t="s">
        <v>37</v>
      </c>
      <c r="E374" s="82" t="s">
        <v>48</v>
      </c>
      <c r="F374" s="83">
        <v>10</v>
      </c>
      <c r="G374" s="84">
        <v>66.150000000000006</v>
      </c>
      <c r="H374" s="85">
        <v>0.1</v>
      </c>
      <c r="I374" s="86">
        <f t="shared" si="10"/>
        <v>595.35</v>
      </c>
      <c r="J374" s="86">
        <v>277.83</v>
      </c>
      <c r="K374" s="86">
        <f t="shared" si="11"/>
        <v>317.52000000000004</v>
      </c>
      <c r="L374" s="87" t="s">
        <v>67</v>
      </c>
      <c r="M374" s="87" t="s">
        <v>60</v>
      </c>
      <c r="N374" s="88" t="s">
        <v>61</v>
      </c>
    </row>
    <row r="375" spans="1:14">
      <c r="A375" s="81">
        <v>45566</v>
      </c>
      <c r="B375" s="82" t="s">
        <v>443</v>
      </c>
      <c r="C375" s="82" t="s">
        <v>31</v>
      </c>
      <c r="D375" s="82" t="s">
        <v>27</v>
      </c>
      <c r="E375" s="82" t="s">
        <v>25</v>
      </c>
      <c r="F375" s="83">
        <v>5</v>
      </c>
      <c r="G375" s="84">
        <v>1212.57</v>
      </c>
      <c r="H375" s="85">
        <v>0.12</v>
      </c>
      <c r="I375" s="86">
        <f t="shared" si="10"/>
        <v>5335.308</v>
      </c>
      <c r="J375" s="86">
        <v>4122.74</v>
      </c>
      <c r="K375" s="86">
        <f t="shared" si="11"/>
        <v>1212.5680000000002</v>
      </c>
      <c r="L375" s="87" t="s">
        <v>59</v>
      </c>
      <c r="M375" s="87" t="s">
        <v>68</v>
      </c>
      <c r="N375" s="88" t="s">
        <v>71</v>
      </c>
    </row>
    <row r="376" spans="1:14">
      <c r="A376" s="81">
        <v>45566</v>
      </c>
      <c r="B376" s="82" t="s">
        <v>444</v>
      </c>
      <c r="C376" s="82" t="s">
        <v>31</v>
      </c>
      <c r="D376" s="82" t="s">
        <v>37</v>
      </c>
      <c r="E376" s="82" t="s">
        <v>47</v>
      </c>
      <c r="F376" s="83">
        <v>10</v>
      </c>
      <c r="G376" s="84">
        <v>122.87</v>
      </c>
      <c r="H376" s="85">
        <v>0.08</v>
      </c>
      <c r="I376" s="86">
        <f t="shared" si="10"/>
        <v>1130.404</v>
      </c>
      <c r="J376" s="86">
        <v>565.20000000000005</v>
      </c>
      <c r="K376" s="86">
        <f t="shared" si="11"/>
        <v>565.20399999999995</v>
      </c>
      <c r="L376" s="87" t="s">
        <v>67</v>
      </c>
      <c r="M376" s="87" t="s">
        <v>68</v>
      </c>
      <c r="N376" s="88" t="s">
        <v>65</v>
      </c>
    </row>
    <row r="377" spans="1:14">
      <c r="A377" s="81">
        <v>45566</v>
      </c>
      <c r="B377" s="82" t="s">
        <v>445</v>
      </c>
      <c r="C377" s="82" t="s">
        <v>40</v>
      </c>
      <c r="D377" s="82" t="s">
        <v>27</v>
      </c>
      <c r="E377" s="82" t="s">
        <v>25</v>
      </c>
      <c r="F377" s="83">
        <v>8</v>
      </c>
      <c r="G377" s="84">
        <v>1192.8599999999999</v>
      </c>
      <c r="H377" s="85">
        <v>0</v>
      </c>
      <c r="I377" s="86">
        <f t="shared" si="10"/>
        <v>9542.8799999999992</v>
      </c>
      <c r="J377" s="86">
        <v>6489.16</v>
      </c>
      <c r="K377" s="86">
        <f t="shared" si="11"/>
        <v>3053.7199999999993</v>
      </c>
      <c r="L377" s="87" t="s">
        <v>63</v>
      </c>
      <c r="M377" s="87" t="s">
        <v>68</v>
      </c>
      <c r="N377" s="88" t="s">
        <v>71</v>
      </c>
    </row>
    <row r="378" spans="1:14">
      <c r="A378" s="81">
        <v>45566</v>
      </c>
      <c r="B378" s="82" t="s">
        <v>446</v>
      </c>
      <c r="C378" s="82" t="s">
        <v>36</v>
      </c>
      <c r="D378" s="82" t="s">
        <v>37</v>
      </c>
      <c r="E378" s="82" t="s">
        <v>47</v>
      </c>
      <c r="F378" s="83">
        <v>11</v>
      </c>
      <c r="G378" s="84">
        <v>116.22</v>
      </c>
      <c r="H378" s="85">
        <v>0.12</v>
      </c>
      <c r="I378" s="86">
        <f t="shared" si="10"/>
        <v>1125.0096000000001</v>
      </c>
      <c r="J378" s="86">
        <v>588.07000000000005</v>
      </c>
      <c r="K378" s="86">
        <f t="shared" si="11"/>
        <v>536.93960000000004</v>
      </c>
      <c r="L378" s="87" t="s">
        <v>59</v>
      </c>
      <c r="M378" s="87" t="s">
        <v>68</v>
      </c>
      <c r="N378" s="88" t="s">
        <v>61</v>
      </c>
    </row>
    <row r="379" spans="1:14">
      <c r="A379" s="81">
        <v>45568</v>
      </c>
      <c r="B379" s="82" t="s">
        <v>447</v>
      </c>
      <c r="C379" s="82" t="s">
        <v>31</v>
      </c>
      <c r="D379" s="82" t="s">
        <v>37</v>
      </c>
      <c r="E379" s="82" t="s">
        <v>48</v>
      </c>
      <c r="F379" s="83">
        <v>10</v>
      </c>
      <c r="G379" s="84">
        <v>66.37</v>
      </c>
      <c r="H379" s="85">
        <v>0.1</v>
      </c>
      <c r="I379" s="86">
        <f t="shared" si="10"/>
        <v>597.33000000000004</v>
      </c>
      <c r="J379" s="86">
        <v>278.75</v>
      </c>
      <c r="K379" s="86">
        <f t="shared" si="11"/>
        <v>318.58000000000004</v>
      </c>
      <c r="L379" s="87" t="s">
        <v>63</v>
      </c>
      <c r="M379" s="87" t="s">
        <v>64</v>
      </c>
      <c r="N379" s="88" t="s">
        <v>65</v>
      </c>
    </row>
    <row r="380" spans="1:14">
      <c r="A380" s="81">
        <v>45568</v>
      </c>
      <c r="B380" s="82" t="s">
        <v>448</v>
      </c>
      <c r="C380" s="82" t="s">
        <v>36</v>
      </c>
      <c r="D380" s="82" t="s">
        <v>32</v>
      </c>
      <c r="E380" s="82" t="s">
        <v>39</v>
      </c>
      <c r="F380" s="83">
        <v>2</v>
      </c>
      <c r="G380" s="84">
        <v>428.72</v>
      </c>
      <c r="H380" s="85">
        <v>0.08</v>
      </c>
      <c r="I380" s="86">
        <f t="shared" si="10"/>
        <v>788.84480000000008</v>
      </c>
      <c r="J380" s="86">
        <v>488.74</v>
      </c>
      <c r="K380" s="86">
        <f t="shared" si="11"/>
        <v>300.10480000000007</v>
      </c>
      <c r="L380" s="87" t="s">
        <v>59</v>
      </c>
      <c r="M380" s="87" t="s">
        <v>64</v>
      </c>
      <c r="N380" s="88" t="s">
        <v>71</v>
      </c>
    </row>
    <row r="381" spans="1:14">
      <c r="A381" s="81">
        <v>45568</v>
      </c>
      <c r="B381" s="82" t="s">
        <v>449</v>
      </c>
      <c r="C381" s="82" t="s">
        <v>31</v>
      </c>
      <c r="D381" s="82" t="s">
        <v>27</v>
      </c>
      <c r="E381" s="82" t="s">
        <v>25</v>
      </c>
      <c r="F381" s="83">
        <v>4</v>
      </c>
      <c r="G381" s="84">
        <v>1230.94</v>
      </c>
      <c r="H381" s="85">
        <v>0</v>
      </c>
      <c r="I381" s="86">
        <f t="shared" si="10"/>
        <v>4923.76</v>
      </c>
      <c r="J381" s="86">
        <v>3348.16</v>
      </c>
      <c r="K381" s="86">
        <f t="shared" si="11"/>
        <v>1575.6000000000004</v>
      </c>
      <c r="L381" s="87" t="s">
        <v>59</v>
      </c>
      <c r="M381" s="87" t="s">
        <v>68</v>
      </c>
      <c r="N381" s="88" t="s">
        <v>74</v>
      </c>
    </row>
    <row r="382" spans="1:14">
      <c r="A382" s="81">
        <v>45568</v>
      </c>
      <c r="B382" s="82" t="s">
        <v>450</v>
      </c>
      <c r="C382" s="82" t="s">
        <v>36</v>
      </c>
      <c r="D382" s="82" t="s">
        <v>27</v>
      </c>
      <c r="E382" s="82" t="s">
        <v>25</v>
      </c>
      <c r="F382" s="83">
        <v>2</v>
      </c>
      <c r="G382" s="84">
        <v>1184.8900000000001</v>
      </c>
      <c r="H382" s="85">
        <v>0.05</v>
      </c>
      <c r="I382" s="86">
        <f t="shared" si="10"/>
        <v>2251.2910000000002</v>
      </c>
      <c r="J382" s="86">
        <v>1611.45</v>
      </c>
      <c r="K382" s="86">
        <f t="shared" si="11"/>
        <v>639.84100000000012</v>
      </c>
      <c r="L382" s="87" t="s">
        <v>63</v>
      </c>
      <c r="M382" s="87" t="s">
        <v>68</v>
      </c>
      <c r="N382" s="88" t="s">
        <v>69</v>
      </c>
    </row>
    <row r="383" spans="1:14">
      <c r="A383" s="81">
        <v>45569</v>
      </c>
      <c r="B383" s="82" t="s">
        <v>451</v>
      </c>
      <c r="C383" s="82" t="s">
        <v>26</v>
      </c>
      <c r="D383" s="82" t="s">
        <v>27</v>
      </c>
      <c r="E383" s="82" t="s">
        <v>30</v>
      </c>
      <c r="F383" s="83">
        <v>15</v>
      </c>
      <c r="G383" s="84">
        <v>625.88</v>
      </c>
      <c r="H383" s="85">
        <v>0.08</v>
      </c>
      <c r="I383" s="86">
        <f t="shared" si="10"/>
        <v>8637.1440000000002</v>
      </c>
      <c r="J383" s="86">
        <v>6008.45</v>
      </c>
      <c r="K383" s="86">
        <f t="shared" si="11"/>
        <v>2628.6940000000004</v>
      </c>
      <c r="L383" s="87" t="s">
        <v>59</v>
      </c>
      <c r="M383" s="87" t="s">
        <v>68</v>
      </c>
      <c r="N383" s="88" t="s">
        <v>61</v>
      </c>
    </row>
    <row r="384" spans="1:14">
      <c r="A384" s="81">
        <v>45569</v>
      </c>
      <c r="B384" s="82" t="s">
        <v>452</v>
      </c>
      <c r="C384" s="82" t="s">
        <v>26</v>
      </c>
      <c r="D384" s="82" t="s">
        <v>27</v>
      </c>
      <c r="E384" s="82" t="s">
        <v>35</v>
      </c>
      <c r="F384" s="83">
        <v>9</v>
      </c>
      <c r="G384" s="84">
        <v>374.93</v>
      </c>
      <c r="H384" s="85">
        <v>0</v>
      </c>
      <c r="I384" s="86">
        <f t="shared" si="10"/>
        <v>3374.37</v>
      </c>
      <c r="J384" s="86">
        <v>2024.62</v>
      </c>
      <c r="K384" s="86">
        <f t="shared" si="11"/>
        <v>1349.75</v>
      </c>
      <c r="L384" s="87" t="s">
        <v>59</v>
      </c>
      <c r="M384" s="87" t="s">
        <v>64</v>
      </c>
      <c r="N384" s="88" t="s">
        <v>78</v>
      </c>
    </row>
    <row r="385" spans="1:14">
      <c r="A385" s="81">
        <v>45571</v>
      </c>
      <c r="B385" s="82" t="s">
        <v>453</v>
      </c>
      <c r="C385" s="82" t="s">
        <v>31</v>
      </c>
      <c r="D385" s="82" t="s">
        <v>32</v>
      </c>
      <c r="E385" s="82" t="s">
        <v>46</v>
      </c>
      <c r="F385" s="83">
        <v>15</v>
      </c>
      <c r="G385" s="84">
        <v>98.95</v>
      </c>
      <c r="H385" s="85">
        <v>0.05</v>
      </c>
      <c r="I385" s="86">
        <f t="shared" si="10"/>
        <v>1410.0374999999999</v>
      </c>
      <c r="J385" s="86">
        <v>712.44</v>
      </c>
      <c r="K385" s="86">
        <f t="shared" si="11"/>
        <v>697.59749999999985</v>
      </c>
      <c r="L385" s="87" t="s">
        <v>63</v>
      </c>
      <c r="M385" s="87" t="s">
        <v>68</v>
      </c>
      <c r="N385" s="88" t="s">
        <v>65</v>
      </c>
    </row>
    <row r="386" spans="1:14">
      <c r="A386" s="81">
        <v>45571</v>
      </c>
      <c r="B386" s="82" t="s">
        <v>454</v>
      </c>
      <c r="C386" s="82" t="s">
        <v>26</v>
      </c>
      <c r="D386" s="82" t="s">
        <v>32</v>
      </c>
      <c r="E386" s="82" t="s">
        <v>42</v>
      </c>
      <c r="F386" s="83">
        <v>3</v>
      </c>
      <c r="G386" s="84">
        <v>760.63</v>
      </c>
      <c r="H386" s="85">
        <v>0.08</v>
      </c>
      <c r="I386" s="86">
        <f t="shared" ref="I386:I449" si="12">F386*G386*(1-H386)</f>
        <v>2099.3388</v>
      </c>
      <c r="J386" s="86">
        <v>1391.95</v>
      </c>
      <c r="K386" s="86">
        <f t="shared" ref="K386:K449" si="13">I386-J386</f>
        <v>707.38879999999995</v>
      </c>
      <c r="L386" s="87" t="s">
        <v>59</v>
      </c>
      <c r="M386" s="87" t="s">
        <v>60</v>
      </c>
      <c r="N386" s="88" t="s">
        <v>78</v>
      </c>
    </row>
    <row r="387" spans="1:14">
      <c r="A387" s="81">
        <v>45573</v>
      </c>
      <c r="B387" s="82" t="s">
        <v>455</v>
      </c>
      <c r="C387" s="82" t="s">
        <v>40</v>
      </c>
      <c r="D387" s="82" t="s">
        <v>32</v>
      </c>
      <c r="E387" s="82" t="s">
        <v>46</v>
      </c>
      <c r="F387" s="83">
        <v>15</v>
      </c>
      <c r="G387" s="84">
        <v>92.38</v>
      </c>
      <c r="H387" s="85">
        <v>0.1</v>
      </c>
      <c r="I387" s="86">
        <f t="shared" si="12"/>
        <v>1247.1299999999999</v>
      </c>
      <c r="J387" s="86">
        <v>665.14</v>
      </c>
      <c r="K387" s="86">
        <f t="shared" si="13"/>
        <v>581.9899999999999</v>
      </c>
      <c r="L387" s="87" t="s">
        <v>67</v>
      </c>
      <c r="M387" s="87" t="s">
        <v>68</v>
      </c>
      <c r="N387" s="88" t="s">
        <v>61</v>
      </c>
    </row>
    <row r="388" spans="1:14">
      <c r="A388" s="81">
        <v>45573</v>
      </c>
      <c r="B388" s="82" t="s">
        <v>456</v>
      </c>
      <c r="C388" s="82" t="s">
        <v>36</v>
      </c>
      <c r="D388" s="82" t="s">
        <v>37</v>
      </c>
      <c r="E388" s="82" t="s">
        <v>47</v>
      </c>
      <c r="F388" s="83">
        <v>4</v>
      </c>
      <c r="G388" s="84">
        <v>120.55</v>
      </c>
      <c r="H388" s="85">
        <v>0.08</v>
      </c>
      <c r="I388" s="86">
        <f t="shared" si="12"/>
        <v>443.62400000000002</v>
      </c>
      <c r="J388" s="86">
        <v>221.81</v>
      </c>
      <c r="K388" s="86">
        <f t="shared" si="13"/>
        <v>221.81400000000002</v>
      </c>
      <c r="L388" s="87" t="s">
        <v>59</v>
      </c>
      <c r="M388" s="87" t="s">
        <v>64</v>
      </c>
      <c r="N388" s="88" t="s">
        <v>65</v>
      </c>
    </row>
    <row r="389" spans="1:14">
      <c r="A389" s="81">
        <v>45573</v>
      </c>
      <c r="B389" s="82" t="s">
        <v>457</v>
      </c>
      <c r="C389" s="82" t="s">
        <v>40</v>
      </c>
      <c r="D389" s="82" t="s">
        <v>37</v>
      </c>
      <c r="E389" s="82" t="s">
        <v>47</v>
      </c>
      <c r="F389" s="83">
        <v>5</v>
      </c>
      <c r="G389" s="84">
        <v>117.02</v>
      </c>
      <c r="H389" s="85">
        <v>0</v>
      </c>
      <c r="I389" s="86">
        <f t="shared" si="12"/>
        <v>585.1</v>
      </c>
      <c r="J389" s="86">
        <v>269.14999999999998</v>
      </c>
      <c r="K389" s="86">
        <f t="shared" si="13"/>
        <v>315.95000000000005</v>
      </c>
      <c r="L389" s="87" t="s">
        <v>67</v>
      </c>
      <c r="M389" s="87" t="s">
        <v>68</v>
      </c>
      <c r="N389" s="88" t="s">
        <v>65</v>
      </c>
    </row>
    <row r="390" spans="1:14">
      <c r="A390" s="81">
        <v>45573</v>
      </c>
      <c r="B390" s="82" t="s">
        <v>458</v>
      </c>
      <c r="C390" s="82" t="s">
        <v>26</v>
      </c>
      <c r="D390" s="82" t="s">
        <v>37</v>
      </c>
      <c r="E390" s="82" t="s">
        <v>47</v>
      </c>
      <c r="F390" s="83">
        <v>8</v>
      </c>
      <c r="G390" s="84">
        <v>117.7</v>
      </c>
      <c r="H390" s="85">
        <v>0.03</v>
      </c>
      <c r="I390" s="86">
        <f t="shared" si="12"/>
        <v>913.35199999999998</v>
      </c>
      <c r="J390" s="86">
        <v>433.14</v>
      </c>
      <c r="K390" s="86">
        <f t="shared" si="13"/>
        <v>480.21199999999999</v>
      </c>
      <c r="L390" s="87" t="s">
        <v>63</v>
      </c>
      <c r="M390" s="87" t="s">
        <v>64</v>
      </c>
      <c r="N390" s="88" t="s">
        <v>74</v>
      </c>
    </row>
    <row r="391" spans="1:14">
      <c r="A391" s="81">
        <v>45573</v>
      </c>
      <c r="B391" s="82" t="s">
        <v>459</v>
      </c>
      <c r="C391" s="82" t="s">
        <v>26</v>
      </c>
      <c r="D391" s="82" t="s">
        <v>37</v>
      </c>
      <c r="E391" s="82" t="s">
        <v>48</v>
      </c>
      <c r="F391" s="83">
        <v>14</v>
      </c>
      <c r="G391" s="84">
        <v>67.52</v>
      </c>
      <c r="H391" s="85">
        <v>0</v>
      </c>
      <c r="I391" s="86">
        <f t="shared" si="12"/>
        <v>945.28</v>
      </c>
      <c r="J391" s="86">
        <v>397.02</v>
      </c>
      <c r="K391" s="86">
        <f t="shared" si="13"/>
        <v>548.26</v>
      </c>
      <c r="L391" s="87" t="s">
        <v>67</v>
      </c>
      <c r="M391" s="87" t="s">
        <v>68</v>
      </c>
      <c r="N391" s="88" t="s">
        <v>71</v>
      </c>
    </row>
    <row r="392" spans="1:14">
      <c r="A392" s="81">
        <v>45573</v>
      </c>
      <c r="B392" s="82" t="s">
        <v>460</v>
      </c>
      <c r="C392" s="82" t="s">
        <v>31</v>
      </c>
      <c r="D392" s="82" t="s">
        <v>32</v>
      </c>
      <c r="E392" s="82" t="s">
        <v>42</v>
      </c>
      <c r="F392" s="83">
        <v>5</v>
      </c>
      <c r="G392" s="84">
        <v>779.43</v>
      </c>
      <c r="H392" s="85">
        <v>0.12</v>
      </c>
      <c r="I392" s="86">
        <f t="shared" si="12"/>
        <v>3429.4919999999997</v>
      </c>
      <c r="J392" s="86">
        <v>2377.2600000000002</v>
      </c>
      <c r="K392" s="86">
        <f t="shared" si="13"/>
        <v>1052.2319999999995</v>
      </c>
      <c r="L392" s="87" t="s">
        <v>67</v>
      </c>
      <c r="M392" s="87" t="s">
        <v>64</v>
      </c>
      <c r="N392" s="88" t="s">
        <v>65</v>
      </c>
    </row>
    <row r="393" spans="1:14">
      <c r="A393" s="81">
        <v>45575</v>
      </c>
      <c r="B393" s="82" t="s">
        <v>461</v>
      </c>
      <c r="C393" s="82" t="s">
        <v>36</v>
      </c>
      <c r="D393" s="82" t="s">
        <v>27</v>
      </c>
      <c r="E393" s="82" t="s">
        <v>30</v>
      </c>
      <c r="F393" s="83">
        <v>8</v>
      </c>
      <c r="G393" s="84">
        <v>657.04</v>
      </c>
      <c r="H393" s="85">
        <v>0.05</v>
      </c>
      <c r="I393" s="86">
        <f t="shared" si="12"/>
        <v>4993.5039999999999</v>
      </c>
      <c r="J393" s="86">
        <v>3364.04</v>
      </c>
      <c r="K393" s="86">
        <f t="shared" si="13"/>
        <v>1629.4639999999999</v>
      </c>
      <c r="L393" s="87" t="s">
        <v>63</v>
      </c>
      <c r="M393" s="87" t="s">
        <v>64</v>
      </c>
      <c r="N393" s="88" t="s">
        <v>61</v>
      </c>
    </row>
    <row r="394" spans="1:14">
      <c r="A394" s="81">
        <v>45576</v>
      </c>
      <c r="B394" s="82" t="s">
        <v>462</v>
      </c>
      <c r="C394" s="82" t="s">
        <v>26</v>
      </c>
      <c r="D394" s="82" t="s">
        <v>32</v>
      </c>
      <c r="E394" s="82" t="s">
        <v>39</v>
      </c>
      <c r="F394" s="83">
        <v>10</v>
      </c>
      <c r="G394" s="84">
        <v>434.31</v>
      </c>
      <c r="H394" s="85">
        <v>0.12</v>
      </c>
      <c r="I394" s="86">
        <f t="shared" si="12"/>
        <v>3821.9280000000003</v>
      </c>
      <c r="J394" s="86">
        <v>2475.5700000000002</v>
      </c>
      <c r="K394" s="86">
        <f t="shared" si="13"/>
        <v>1346.3580000000002</v>
      </c>
      <c r="L394" s="87" t="s">
        <v>59</v>
      </c>
      <c r="M394" s="87" t="s">
        <v>64</v>
      </c>
      <c r="N394" s="88" t="s">
        <v>65</v>
      </c>
    </row>
    <row r="395" spans="1:14">
      <c r="A395" s="81">
        <v>45576</v>
      </c>
      <c r="B395" s="82" t="s">
        <v>463</v>
      </c>
      <c r="C395" s="82" t="s">
        <v>31</v>
      </c>
      <c r="D395" s="82" t="s">
        <v>27</v>
      </c>
      <c r="E395" s="82" t="s">
        <v>25</v>
      </c>
      <c r="F395" s="83">
        <v>10</v>
      </c>
      <c r="G395" s="84">
        <v>1143.27</v>
      </c>
      <c r="H395" s="85">
        <v>0</v>
      </c>
      <c r="I395" s="86">
        <f t="shared" si="12"/>
        <v>11432.7</v>
      </c>
      <c r="J395" s="86">
        <v>7774.24</v>
      </c>
      <c r="K395" s="86">
        <f t="shared" si="13"/>
        <v>3658.4600000000009</v>
      </c>
      <c r="L395" s="87" t="s">
        <v>59</v>
      </c>
      <c r="M395" s="87" t="s">
        <v>68</v>
      </c>
      <c r="N395" s="88" t="s">
        <v>65</v>
      </c>
    </row>
    <row r="396" spans="1:14">
      <c r="A396" s="81">
        <v>45577</v>
      </c>
      <c r="B396" s="82" t="s">
        <v>464</v>
      </c>
      <c r="C396" s="82" t="s">
        <v>31</v>
      </c>
      <c r="D396" s="82" t="s">
        <v>37</v>
      </c>
      <c r="E396" s="82" t="s">
        <v>48</v>
      </c>
      <c r="F396" s="83">
        <v>4</v>
      </c>
      <c r="G396" s="84">
        <v>71.87</v>
      </c>
      <c r="H396" s="85">
        <v>0.08</v>
      </c>
      <c r="I396" s="86">
        <f t="shared" si="12"/>
        <v>264.48160000000001</v>
      </c>
      <c r="J396" s="86">
        <v>120.74</v>
      </c>
      <c r="K396" s="86">
        <f t="shared" si="13"/>
        <v>143.74160000000001</v>
      </c>
      <c r="L396" s="87" t="s">
        <v>59</v>
      </c>
      <c r="M396" s="87" t="s">
        <v>64</v>
      </c>
      <c r="N396" s="88" t="s">
        <v>78</v>
      </c>
    </row>
    <row r="397" spans="1:14">
      <c r="A397" s="81">
        <v>45577</v>
      </c>
      <c r="B397" s="82" t="s">
        <v>465</v>
      </c>
      <c r="C397" s="82" t="s">
        <v>40</v>
      </c>
      <c r="D397" s="82" t="s">
        <v>27</v>
      </c>
      <c r="E397" s="82" t="s">
        <v>30</v>
      </c>
      <c r="F397" s="83">
        <v>6</v>
      </c>
      <c r="G397" s="84">
        <v>602.11</v>
      </c>
      <c r="H397" s="85">
        <v>0.12</v>
      </c>
      <c r="I397" s="86">
        <f t="shared" si="12"/>
        <v>3179.1407999999997</v>
      </c>
      <c r="J397" s="86">
        <v>2312.1</v>
      </c>
      <c r="K397" s="86">
        <f t="shared" si="13"/>
        <v>867.04079999999976</v>
      </c>
      <c r="L397" s="87" t="s">
        <v>63</v>
      </c>
      <c r="M397" s="87" t="s">
        <v>60</v>
      </c>
      <c r="N397" s="88" t="s">
        <v>74</v>
      </c>
    </row>
    <row r="398" spans="1:14">
      <c r="A398" s="81">
        <v>45579</v>
      </c>
      <c r="B398" s="82" t="s">
        <v>466</v>
      </c>
      <c r="C398" s="82" t="s">
        <v>40</v>
      </c>
      <c r="D398" s="82" t="s">
        <v>32</v>
      </c>
      <c r="E398" s="82" t="s">
        <v>46</v>
      </c>
      <c r="F398" s="83">
        <v>11</v>
      </c>
      <c r="G398" s="84">
        <v>99.77</v>
      </c>
      <c r="H398" s="85">
        <v>0.03</v>
      </c>
      <c r="I398" s="86">
        <f t="shared" si="12"/>
        <v>1064.5459000000001</v>
      </c>
      <c r="J398" s="86">
        <v>526.79</v>
      </c>
      <c r="K398" s="86">
        <f t="shared" si="13"/>
        <v>537.75590000000011</v>
      </c>
      <c r="L398" s="87" t="s">
        <v>67</v>
      </c>
      <c r="M398" s="87" t="s">
        <v>60</v>
      </c>
      <c r="N398" s="88" t="s">
        <v>69</v>
      </c>
    </row>
    <row r="399" spans="1:14">
      <c r="A399" s="81">
        <v>45581</v>
      </c>
      <c r="B399" s="82" t="s">
        <v>467</v>
      </c>
      <c r="C399" s="82" t="s">
        <v>31</v>
      </c>
      <c r="D399" s="82" t="s">
        <v>32</v>
      </c>
      <c r="E399" s="82" t="s">
        <v>46</v>
      </c>
      <c r="F399" s="83">
        <v>8</v>
      </c>
      <c r="G399" s="84">
        <v>100.61</v>
      </c>
      <c r="H399" s="85">
        <v>0.12</v>
      </c>
      <c r="I399" s="86">
        <f t="shared" si="12"/>
        <v>708.2944</v>
      </c>
      <c r="J399" s="86">
        <v>386.34</v>
      </c>
      <c r="K399" s="86">
        <f t="shared" si="13"/>
        <v>321.95440000000002</v>
      </c>
      <c r="L399" s="87" t="s">
        <v>59</v>
      </c>
      <c r="M399" s="87" t="s">
        <v>64</v>
      </c>
      <c r="N399" s="88" t="s">
        <v>71</v>
      </c>
    </row>
    <row r="400" spans="1:14">
      <c r="A400" s="81">
        <v>45582</v>
      </c>
      <c r="B400" s="82" t="s">
        <v>468</v>
      </c>
      <c r="C400" s="82" t="s">
        <v>26</v>
      </c>
      <c r="D400" s="82" t="s">
        <v>27</v>
      </c>
      <c r="E400" s="82" t="s">
        <v>35</v>
      </c>
      <c r="F400" s="83">
        <v>6</v>
      </c>
      <c r="G400" s="84">
        <v>362.35</v>
      </c>
      <c r="H400" s="85">
        <v>0.1</v>
      </c>
      <c r="I400" s="86">
        <f t="shared" si="12"/>
        <v>1956.6900000000003</v>
      </c>
      <c r="J400" s="86">
        <v>1304.46</v>
      </c>
      <c r="K400" s="86">
        <f t="shared" si="13"/>
        <v>652.23000000000025</v>
      </c>
      <c r="L400" s="87" t="s">
        <v>63</v>
      </c>
      <c r="M400" s="87" t="s">
        <v>60</v>
      </c>
      <c r="N400" s="88" t="s">
        <v>61</v>
      </c>
    </row>
    <row r="401" spans="1:14">
      <c r="A401" s="81">
        <v>45582</v>
      </c>
      <c r="B401" s="82" t="s">
        <v>469</v>
      </c>
      <c r="C401" s="82" t="s">
        <v>31</v>
      </c>
      <c r="D401" s="82" t="s">
        <v>32</v>
      </c>
      <c r="E401" s="82" t="s">
        <v>42</v>
      </c>
      <c r="F401" s="83">
        <v>2</v>
      </c>
      <c r="G401" s="84">
        <v>752.52</v>
      </c>
      <c r="H401" s="85">
        <v>0.1</v>
      </c>
      <c r="I401" s="86">
        <f t="shared" si="12"/>
        <v>1354.5360000000001</v>
      </c>
      <c r="J401" s="86">
        <v>918.07</v>
      </c>
      <c r="K401" s="86">
        <f t="shared" si="13"/>
        <v>436.46600000000001</v>
      </c>
      <c r="L401" s="87" t="s">
        <v>67</v>
      </c>
      <c r="M401" s="87" t="s">
        <v>60</v>
      </c>
      <c r="N401" s="88" t="s">
        <v>78</v>
      </c>
    </row>
    <row r="402" spans="1:14">
      <c r="A402" s="81">
        <v>45583</v>
      </c>
      <c r="B402" s="82" t="s">
        <v>470</v>
      </c>
      <c r="C402" s="82" t="s">
        <v>31</v>
      </c>
      <c r="D402" s="82" t="s">
        <v>37</v>
      </c>
      <c r="E402" s="82" t="s">
        <v>47</v>
      </c>
      <c r="F402" s="83">
        <v>16</v>
      </c>
      <c r="G402" s="84">
        <v>117.36</v>
      </c>
      <c r="H402" s="85">
        <v>0.03</v>
      </c>
      <c r="I402" s="86">
        <f t="shared" si="12"/>
        <v>1821.4271999999999</v>
      </c>
      <c r="J402" s="86">
        <v>863.77</v>
      </c>
      <c r="K402" s="86">
        <f t="shared" si="13"/>
        <v>957.65719999999988</v>
      </c>
      <c r="L402" s="87" t="s">
        <v>63</v>
      </c>
      <c r="M402" s="87" t="s">
        <v>68</v>
      </c>
      <c r="N402" s="88" t="s">
        <v>71</v>
      </c>
    </row>
    <row r="403" spans="1:14">
      <c r="A403" s="81">
        <v>45584</v>
      </c>
      <c r="B403" s="82" t="s">
        <v>471</v>
      </c>
      <c r="C403" s="82" t="s">
        <v>40</v>
      </c>
      <c r="D403" s="82" t="s">
        <v>32</v>
      </c>
      <c r="E403" s="82" t="s">
        <v>39</v>
      </c>
      <c r="F403" s="83">
        <v>5</v>
      </c>
      <c r="G403" s="84">
        <v>414.33</v>
      </c>
      <c r="H403" s="85">
        <v>0.08</v>
      </c>
      <c r="I403" s="86">
        <f t="shared" si="12"/>
        <v>1905.9180000000001</v>
      </c>
      <c r="J403" s="86">
        <v>1180.8399999999999</v>
      </c>
      <c r="K403" s="86">
        <f t="shared" si="13"/>
        <v>725.0780000000002</v>
      </c>
      <c r="L403" s="87" t="s">
        <v>67</v>
      </c>
      <c r="M403" s="87" t="s">
        <v>68</v>
      </c>
      <c r="N403" s="88" t="s">
        <v>61</v>
      </c>
    </row>
    <row r="404" spans="1:14">
      <c r="A404" s="81">
        <v>45585</v>
      </c>
      <c r="B404" s="82" t="s">
        <v>472</v>
      </c>
      <c r="C404" s="82" t="s">
        <v>31</v>
      </c>
      <c r="D404" s="82" t="s">
        <v>37</v>
      </c>
      <c r="E404" s="82" t="s">
        <v>48</v>
      </c>
      <c r="F404" s="83">
        <v>13</v>
      </c>
      <c r="G404" s="84">
        <v>67.17</v>
      </c>
      <c r="H404" s="85">
        <v>0.03</v>
      </c>
      <c r="I404" s="86">
        <f t="shared" si="12"/>
        <v>847.01369999999997</v>
      </c>
      <c r="J404" s="86">
        <v>366.75</v>
      </c>
      <c r="K404" s="86">
        <f t="shared" si="13"/>
        <v>480.26369999999997</v>
      </c>
      <c r="L404" s="87" t="s">
        <v>63</v>
      </c>
      <c r="M404" s="87" t="s">
        <v>68</v>
      </c>
      <c r="N404" s="88" t="s">
        <v>74</v>
      </c>
    </row>
    <row r="405" spans="1:14">
      <c r="A405" s="81">
        <v>45585</v>
      </c>
      <c r="B405" s="82" t="s">
        <v>473</v>
      </c>
      <c r="C405" s="82" t="s">
        <v>26</v>
      </c>
      <c r="D405" s="82" t="s">
        <v>27</v>
      </c>
      <c r="E405" s="82" t="s">
        <v>25</v>
      </c>
      <c r="F405" s="83">
        <v>15</v>
      </c>
      <c r="G405" s="84">
        <v>1168.3900000000001</v>
      </c>
      <c r="H405" s="85">
        <v>0.12</v>
      </c>
      <c r="I405" s="86">
        <f t="shared" si="12"/>
        <v>15422.748000000001</v>
      </c>
      <c r="J405" s="86">
        <v>11917.58</v>
      </c>
      <c r="K405" s="86">
        <f t="shared" si="13"/>
        <v>3505.1680000000015</v>
      </c>
      <c r="L405" s="87" t="s">
        <v>59</v>
      </c>
      <c r="M405" s="87" t="s">
        <v>68</v>
      </c>
      <c r="N405" s="88" t="s">
        <v>74</v>
      </c>
    </row>
    <row r="406" spans="1:14">
      <c r="A406" s="81">
        <v>45587</v>
      </c>
      <c r="B406" s="82" t="s">
        <v>474</v>
      </c>
      <c r="C406" s="82" t="s">
        <v>26</v>
      </c>
      <c r="D406" s="82" t="s">
        <v>32</v>
      </c>
      <c r="E406" s="82" t="s">
        <v>46</v>
      </c>
      <c r="F406" s="83">
        <v>14</v>
      </c>
      <c r="G406" s="84">
        <v>95.75</v>
      </c>
      <c r="H406" s="85">
        <v>0.08</v>
      </c>
      <c r="I406" s="86">
        <f t="shared" si="12"/>
        <v>1233.26</v>
      </c>
      <c r="J406" s="86">
        <v>643.44000000000005</v>
      </c>
      <c r="K406" s="86">
        <f t="shared" si="13"/>
        <v>589.81999999999994</v>
      </c>
      <c r="L406" s="87" t="s">
        <v>59</v>
      </c>
      <c r="M406" s="87" t="s">
        <v>68</v>
      </c>
      <c r="N406" s="88" t="s">
        <v>69</v>
      </c>
    </row>
    <row r="407" spans="1:14">
      <c r="A407" s="81">
        <v>45587</v>
      </c>
      <c r="B407" s="82" t="s">
        <v>475</v>
      </c>
      <c r="C407" s="82" t="s">
        <v>36</v>
      </c>
      <c r="D407" s="82" t="s">
        <v>32</v>
      </c>
      <c r="E407" s="82" t="s">
        <v>42</v>
      </c>
      <c r="F407" s="83">
        <v>14</v>
      </c>
      <c r="G407" s="84">
        <v>752.63</v>
      </c>
      <c r="H407" s="85">
        <v>0.03</v>
      </c>
      <c r="I407" s="86">
        <f t="shared" si="12"/>
        <v>10220.715399999999</v>
      </c>
      <c r="J407" s="86">
        <v>6427.46</v>
      </c>
      <c r="K407" s="86">
        <f t="shared" si="13"/>
        <v>3793.2553999999991</v>
      </c>
      <c r="L407" s="87" t="s">
        <v>63</v>
      </c>
      <c r="M407" s="87" t="s">
        <v>68</v>
      </c>
      <c r="N407" s="88" t="s">
        <v>69</v>
      </c>
    </row>
    <row r="408" spans="1:14">
      <c r="A408" s="81">
        <v>45590</v>
      </c>
      <c r="B408" s="82" t="s">
        <v>476</v>
      </c>
      <c r="C408" s="82" t="s">
        <v>36</v>
      </c>
      <c r="D408" s="82" t="s">
        <v>27</v>
      </c>
      <c r="E408" s="82" t="s">
        <v>30</v>
      </c>
      <c r="F408" s="83">
        <v>12</v>
      </c>
      <c r="G408" s="84">
        <v>627.30999999999995</v>
      </c>
      <c r="H408" s="85">
        <v>0.1</v>
      </c>
      <c r="I408" s="86">
        <f t="shared" si="12"/>
        <v>6774.9479999999994</v>
      </c>
      <c r="J408" s="86">
        <v>4817.74</v>
      </c>
      <c r="K408" s="86">
        <f t="shared" si="13"/>
        <v>1957.2079999999996</v>
      </c>
      <c r="L408" s="87" t="s">
        <v>59</v>
      </c>
      <c r="M408" s="87" t="s">
        <v>68</v>
      </c>
      <c r="N408" s="88" t="s">
        <v>69</v>
      </c>
    </row>
    <row r="409" spans="1:14">
      <c r="A409" s="81">
        <v>45590</v>
      </c>
      <c r="B409" s="82" t="s">
        <v>477</v>
      </c>
      <c r="C409" s="82" t="s">
        <v>26</v>
      </c>
      <c r="D409" s="82" t="s">
        <v>27</v>
      </c>
      <c r="E409" s="82" t="s">
        <v>35</v>
      </c>
      <c r="F409" s="83">
        <v>5</v>
      </c>
      <c r="G409" s="84">
        <v>369.2</v>
      </c>
      <c r="H409" s="85">
        <v>0</v>
      </c>
      <c r="I409" s="86">
        <f t="shared" si="12"/>
        <v>1846</v>
      </c>
      <c r="J409" s="86">
        <v>1107.5999999999999</v>
      </c>
      <c r="K409" s="86">
        <f t="shared" si="13"/>
        <v>738.40000000000009</v>
      </c>
      <c r="L409" s="87" t="s">
        <v>67</v>
      </c>
      <c r="M409" s="87" t="s">
        <v>64</v>
      </c>
      <c r="N409" s="88" t="s">
        <v>74</v>
      </c>
    </row>
    <row r="410" spans="1:14">
      <c r="A410" s="81">
        <v>45591</v>
      </c>
      <c r="B410" s="82" t="s">
        <v>478</v>
      </c>
      <c r="C410" s="82" t="s">
        <v>31</v>
      </c>
      <c r="D410" s="82" t="s">
        <v>37</v>
      </c>
      <c r="E410" s="82" t="s">
        <v>47</v>
      </c>
      <c r="F410" s="83">
        <v>6</v>
      </c>
      <c r="G410" s="84">
        <v>122.5</v>
      </c>
      <c r="H410" s="85">
        <v>0.12</v>
      </c>
      <c r="I410" s="86">
        <f t="shared" si="12"/>
        <v>646.79999999999995</v>
      </c>
      <c r="J410" s="86">
        <v>338.1</v>
      </c>
      <c r="K410" s="86">
        <f t="shared" si="13"/>
        <v>308.69999999999993</v>
      </c>
      <c r="L410" s="87" t="s">
        <v>67</v>
      </c>
      <c r="M410" s="87" t="s">
        <v>64</v>
      </c>
      <c r="N410" s="88" t="s">
        <v>65</v>
      </c>
    </row>
    <row r="411" spans="1:14">
      <c r="A411" s="81">
        <v>45591</v>
      </c>
      <c r="B411" s="82" t="s">
        <v>479</v>
      </c>
      <c r="C411" s="82" t="s">
        <v>31</v>
      </c>
      <c r="D411" s="82" t="s">
        <v>27</v>
      </c>
      <c r="E411" s="82" t="s">
        <v>35</v>
      </c>
      <c r="F411" s="83">
        <v>3</v>
      </c>
      <c r="G411" s="84">
        <v>371.62</v>
      </c>
      <c r="H411" s="85">
        <v>0.08</v>
      </c>
      <c r="I411" s="86">
        <f t="shared" si="12"/>
        <v>1025.6712000000002</v>
      </c>
      <c r="J411" s="86">
        <v>668.92</v>
      </c>
      <c r="K411" s="86">
        <f t="shared" si="13"/>
        <v>356.75120000000027</v>
      </c>
      <c r="L411" s="87" t="s">
        <v>63</v>
      </c>
      <c r="M411" s="87" t="s">
        <v>60</v>
      </c>
      <c r="N411" s="88" t="s">
        <v>78</v>
      </c>
    </row>
    <row r="412" spans="1:14">
      <c r="A412" s="81">
        <v>45591</v>
      </c>
      <c r="B412" s="82" t="s">
        <v>480</v>
      </c>
      <c r="C412" s="82" t="s">
        <v>31</v>
      </c>
      <c r="D412" s="82" t="s">
        <v>37</v>
      </c>
      <c r="E412" s="82" t="s">
        <v>47</v>
      </c>
      <c r="F412" s="83">
        <v>10</v>
      </c>
      <c r="G412" s="84">
        <v>126.24</v>
      </c>
      <c r="H412" s="85">
        <v>0.12</v>
      </c>
      <c r="I412" s="86">
        <f t="shared" si="12"/>
        <v>1110.9119999999998</v>
      </c>
      <c r="J412" s="86">
        <v>580.70000000000005</v>
      </c>
      <c r="K412" s="86">
        <f t="shared" si="13"/>
        <v>530.21199999999976</v>
      </c>
      <c r="L412" s="87" t="s">
        <v>59</v>
      </c>
      <c r="M412" s="87" t="s">
        <v>60</v>
      </c>
      <c r="N412" s="88" t="s">
        <v>71</v>
      </c>
    </row>
    <row r="413" spans="1:14">
      <c r="A413" s="81">
        <v>45592</v>
      </c>
      <c r="B413" s="82" t="s">
        <v>481</v>
      </c>
      <c r="C413" s="82" t="s">
        <v>40</v>
      </c>
      <c r="D413" s="82" t="s">
        <v>37</v>
      </c>
      <c r="E413" s="82" t="s">
        <v>48</v>
      </c>
      <c r="F413" s="83">
        <v>2</v>
      </c>
      <c r="G413" s="84">
        <v>65.94</v>
      </c>
      <c r="H413" s="85">
        <v>0.08</v>
      </c>
      <c r="I413" s="86">
        <f t="shared" si="12"/>
        <v>121.3296</v>
      </c>
      <c r="J413" s="86">
        <v>55.39</v>
      </c>
      <c r="K413" s="86">
        <f t="shared" si="13"/>
        <v>65.939599999999999</v>
      </c>
      <c r="L413" s="87" t="s">
        <v>63</v>
      </c>
      <c r="M413" s="87" t="s">
        <v>60</v>
      </c>
      <c r="N413" s="88" t="s">
        <v>65</v>
      </c>
    </row>
    <row r="414" spans="1:14">
      <c r="A414" s="81">
        <v>45593</v>
      </c>
      <c r="B414" s="82" t="s">
        <v>482</v>
      </c>
      <c r="C414" s="82" t="s">
        <v>36</v>
      </c>
      <c r="D414" s="82" t="s">
        <v>27</v>
      </c>
      <c r="E414" s="82" t="s">
        <v>25</v>
      </c>
      <c r="F414" s="83">
        <v>7</v>
      </c>
      <c r="G414" s="84">
        <v>1134.6099999999999</v>
      </c>
      <c r="H414" s="85">
        <v>0.05</v>
      </c>
      <c r="I414" s="86">
        <f t="shared" si="12"/>
        <v>7545.1564999999991</v>
      </c>
      <c r="J414" s="86">
        <v>5400.74</v>
      </c>
      <c r="K414" s="86">
        <f t="shared" si="13"/>
        <v>2144.4164999999994</v>
      </c>
      <c r="L414" s="87" t="s">
        <v>67</v>
      </c>
      <c r="M414" s="87" t="s">
        <v>68</v>
      </c>
      <c r="N414" s="88" t="s">
        <v>65</v>
      </c>
    </row>
    <row r="415" spans="1:14">
      <c r="A415" s="81">
        <v>45593</v>
      </c>
      <c r="B415" s="82" t="s">
        <v>483</v>
      </c>
      <c r="C415" s="82" t="s">
        <v>31</v>
      </c>
      <c r="D415" s="82" t="s">
        <v>32</v>
      </c>
      <c r="E415" s="82" t="s">
        <v>42</v>
      </c>
      <c r="F415" s="83">
        <v>9</v>
      </c>
      <c r="G415" s="84">
        <v>772.05</v>
      </c>
      <c r="H415" s="85">
        <v>0.12</v>
      </c>
      <c r="I415" s="86">
        <f t="shared" si="12"/>
        <v>6114.6359999999995</v>
      </c>
      <c r="J415" s="86">
        <v>4238.55</v>
      </c>
      <c r="K415" s="86">
        <f t="shared" si="13"/>
        <v>1876.0859999999993</v>
      </c>
      <c r="L415" s="87" t="s">
        <v>67</v>
      </c>
      <c r="M415" s="87" t="s">
        <v>68</v>
      </c>
      <c r="N415" s="88" t="s">
        <v>69</v>
      </c>
    </row>
    <row r="416" spans="1:14">
      <c r="A416" s="81">
        <v>45594</v>
      </c>
      <c r="B416" s="82" t="s">
        <v>484</v>
      </c>
      <c r="C416" s="82" t="s">
        <v>26</v>
      </c>
      <c r="D416" s="82" t="s">
        <v>32</v>
      </c>
      <c r="E416" s="82" t="s">
        <v>46</v>
      </c>
      <c r="F416" s="83">
        <v>5</v>
      </c>
      <c r="G416" s="84">
        <v>99.38</v>
      </c>
      <c r="H416" s="85">
        <v>0.03</v>
      </c>
      <c r="I416" s="86">
        <f t="shared" si="12"/>
        <v>481.99299999999994</v>
      </c>
      <c r="J416" s="86">
        <v>238.51</v>
      </c>
      <c r="K416" s="86">
        <f t="shared" si="13"/>
        <v>243.48299999999995</v>
      </c>
      <c r="L416" s="87" t="s">
        <v>59</v>
      </c>
      <c r="M416" s="87" t="s">
        <v>64</v>
      </c>
      <c r="N416" s="88" t="s">
        <v>65</v>
      </c>
    </row>
    <row r="417" spans="1:14">
      <c r="A417" s="81">
        <v>45595</v>
      </c>
      <c r="B417" s="82" t="s">
        <v>485</v>
      </c>
      <c r="C417" s="82" t="s">
        <v>31</v>
      </c>
      <c r="D417" s="82" t="s">
        <v>27</v>
      </c>
      <c r="E417" s="82" t="s">
        <v>30</v>
      </c>
      <c r="F417" s="83">
        <v>4</v>
      </c>
      <c r="G417" s="84">
        <v>653.69000000000005</v>
      </c>
      <c r="H417" s="85">
        <v>0.08</v>
      </c>
      <c r="I417" s="86">
        <f t="shared" si="12"/>
        <v>2405.5792000000001</v>
      </c>
      <c r="J417" s="86">
        <v>1673.45</v>
      </c>
      <c r="K417" s="86">
        <f t="shared" si="13"/>
        <v>732.12920000000008</v>
      </c>
      <c r="L417" s="87" t="s">
        <v>67</v>
      </c>
      <c r="M417" s="87" t="s">
        <v>60</v>
      </c>
      <c r="N417" s="88" t="s">
        <v>69</v>
      </c>
    </row>
    <row r="418" spans="1:14">
      <c r="A418" s="81">
        <v>45596</v>
      </c>
      <c r="B418" s="82" t="s">
        <v>486</v>
      </c>
      <c r="C418" s="82" t="s">
        <v>26</v>
      </c>
      <c r="D418" s="82" t="s">
        <v>37</v>
      </c>
      <c r="E418" s="82" t="s">
        <v>47</v>
      </c>
      <c r="F418" s="83">
        <v>9</v>
      </c>
      <c r="G418" s="84">
        <v>117.61</v>
      </c>
      <c r="H418" s="85">
        <v>0.08</v>
      </c>
      <c r="I418" s="86">
        <f t="shared" si="12"/>
        <v>973.81080000000009</v>
      </c>
      <c r="J418" s="86">
        <v>486.91</v>
      </c>
      <c r="K418" s="86">
        <f t="shared" si="13"/>
        <v>486.90080000000006</v>
      </c>
      <c r="L418" s="87" t="s">
        <v>59</v>
      </c>
      <c r="M418" s="87" t="s">
        <v>64</v>
      </c>
      <c r="N418" s="88" t="s">
        <v>69</v>
      </c>
    </row>
    <row r="419" spans="1:14">
      <c r="A419" s="81">
        <v>45596</v>
      </c>
      <c r="B419" s="82" t="s">
        <v>487</v>
      </c>
      <c r="C419" s="82" t="s">
        <v>40</v>
      </c>
      <c r="D419" s="82" t="s">
        <v>27</v>
      </c>
      <c r="E419" s="82" t="s">
        <v>25</v>
      </c>
      <c r="F419" s="83">
        <v>6</v>
      </c>
      <c r="G419" s="84">
        <v>1226.42</v>
      </c>
      <c r="H419" s="85">
        <v>0.1</v>
      </c>
      <c r="I419" s="86">
        <f t="shared" si="12"/>
        <v>6622.6680000000006</v>
      </c>
      <c r="J419" s="86">
        <v>5003.79</v>
      </c>
      <c r="K419" s="86">
        <f t="shared" si="13"/>
        <v>1618.8780000000006</v>
      </c>
      <c r="L419" s="87" t="s">
        <v>59</v>
      </c>
      <c r="M419" s="87" t="s">
        <v>64</v>
      </c>
      <c r="N419" s="88" t="s">
        <v>69</v>
      </c>
    </row>
    <row r="420" spans="1:14">
      <c r="A420" s="81">
        <v>45596</v>
      </c>
      <c r="B420" s="82" t="s">
        <v>488</v>
      </c>
      <c r="C420" s="82" t="s">
        <v>40</v>
      </c>
      <c r="D420" s="82" t="s">
        <v>32</v>
      </c>
      <c r="E420" s="82" t="s">
        <v>46</v>
      </c>
      <c r="F420" s="83">
        <v>7</v>
      </c>
      <c r="G420" s="84">
        <v>98.33</v>
      </c>
      <c r="H420" s="85">
        <v>0</v>
      </c>
      <c r="I420" s="86">
        <f t="shared" si="12"/>
        <v>688.31</v>
      </c>
      <c r="J420" s="86">
        <v>330.39</v>
      </c>
      <c r="K420" s="86">
        <f t="shared" si="13"/>
        <v>357.91999999999996</v>
      </c>
      <c r="L420" s="87" t="s">
        <v>63</v>
      </c>
      <c r="M420" s="87" t="s">
        <v>60</v>
      </c>
      <c r="N420" s="88" t="s">
        <v>78</v>
      </c>
    </row>
    <row r="421" spans="1:14">
      <c r="A421" s="81">
        <v>45597</v>
      </c>
      <c r="B421" s="82" t="s">
        <v>489</v>
      </c>
      <c r="C421" s="82" t="s">
        <v>40</v>
      </c>
      <c r="D421" s="82" t="s">
        <v>37</v>
      </c>
      <c r="E421" s="82" t="s">
        <v>48</v>
      </c>
      <c r="F421" s="83">
        <v>14</v>
      </c>
      <c r="G421" s="84">
        <v>68.73</v>
      </c>
      <c r="H421" s="85">
        <v>0.05</v>
      </c>
      <c r="I421" s="86">
        <f t="shared" si="12"/>
        <v>914.10900000000004</v>
      </c>
      <c r="J421" s="86">
        <v>404.13</v>
      </c>
      <c r="K421" s="86">
        <f t="shared" si="13"/>
        <v>509.97900000000004</v>
      </c>
      <c r="L421" s="87" t="s">
        <v>67</v>
      </c>
      <c r="M421" s="87" t="s">
        <v>68</v>
      </c>
      <c r="N421" s="88" t="s">
        <v>65</v>
      </c>
    </row>
    <row r="422" spans="1:14">
      <c r="A422" s="81">
        <v>45597</v>
      </c>
      <c r="B422" s="82" t="s">
        <v>490</v>
      </c>
      <c r="C422" s="82" t="s">
        <v>31</v>
      </c>
      <c r="D422" s="82" t="s">
        <v>27</v>
      </c>
      <c r="E422" s="82" t="s">
        <v>30</v>
      </c>
      <c r="F422" s="83">
        <v>7</v>
      </c>
      <c r="G422" s="84">
        <v>646.27</v>
      </c>
      <c r="H422" s="85">
        <v>0.05</v>
      </c>
      <c r="I422" s="86">
        <f t="shared" si="12"/>
        <v>4297.6954999999989</v>
      </c>
      <c r="J422" s="86">
        <v>2895.29</v>
      </c>
      <c r="K422" s="86">
        <f t="shared" si="13"/>
        <v>1402.4054999999989</v>
      </c>
      <c r="L422" s="87" t="s">
        <v>59</v>
      </c>
      <c r="M422" s="87" t="s">
        <v>60</v>
      </c>
      <c r="N422" s="88" t="s">
        <v>61</v>
      </c>
    </row>
    <row r="423" spans="1:14">
      <c r="A423" s="81">
        <v>45599</v>
      </c>
      <c r="B423" s="82" t="s">
        <v>491</v>
      </c>
      <c r="C423" s="82" t="s">
        <v>40</v>
      </c>
      <c r="D423" s="82" t="s">
        <v>37</v>
      </c>
      <c r="E423" s="82" t="s">
        <v>47</v>
      </c>
      <c r="F423" s="83">
        <v>14</v>
      </c>
      <c r="G423" s="84">
        <v>126.48</v>
      </c>
      <c r="H423" s="85">
        <v>0.12</v>
      </c>
      <c r="I423" s="86">
        <f t="shared" si="12"/>
        <v>1558.2336</v>
      </c>
      <c r="J423" s="86">
        <v>814.53</v>
      </c>
      <c r="K423" s="86">
        <f t="shared" si="13"/>
        <v>743.70360000000005</v>
      </c>
      <c r="L423" s="87" t="s">
        <v>63</v>
      </c>
      <c r="M423" s="87" t="s">
        <v>68</v>
      </c>
      <c r="N423" s="88" t="s">
        <v>74</v>
      </c>
    </row>
    <row r="424" spans="1:14">
      <c r="A424" s="81">
        <v>45601</v>
      </c>
      <c r="B424" s="82" t="s">
        <v>492</v>
      </c>
      <c r="C424" s="82" t="s">
        <v>26</v>
      </c>
      <c r="D424" s="82" t="s">
        <v>32</v>
      </c>
      <c r="E424" s="82" t="s">
        <v>39</v>
      </c>
      <c r="F424" s="83">
        <v>3</v>
      </c>
      <c r="G424" s="84">
        <v>422.12</v>
      </c>
      <c r="H424" s="85">
        <v>0</v>
      </c>
      <c r="I424" s="86">
        <f t="shared" si="12"/>
        <v>1266.3600000000001</v>
      </c>
      <c r="J424" s="86">
        <v>721.83</v>
      </c>
      <c r="K424" s="86">
        <f t="shared" si="13"/>
        <v>544.53000000000009</v>
      </c>
      <c r="L424" s="87" t="s">
        <v>63</v>
      </c>
      <c r="M424" s="87" t="s">
        <v>68</v>
      </c>
      <c r="N424" s="88" t="s">
        <v>69</v>
      </c>
    </row>
    <row r="425" spans="1:14">
      <c r="A425" s="81">
        <v>45601</v>
      </c>
      <c r="B425" s="82" t="s">
        <v>493</v>
      </c>
      <c r="C425" s="82" t="s">
        <v>31</v>
      </c>
      <c r="D425" s="82" t="s">
        <v>27</v>
      </c>
      <c r="E425" s="82" t="s">
        <v>25</v>
      </c>
      <c r="F425" s="83">
        <v>3</v>
      </c>
      <c r="G425" s="84">
        <v>1187.2</v>
      </c>
      <c r="H425" s="85">
        <v>0.1</v>
      </c>
      <c r="I425" s="86">
        <f t="shared" si="12"/>
        <v>3205.4400000000005</v>
      </c>
      <c r="J425" s="86">
        <v>2421.89</v>
      </c>
      <c r="K425" s="86">
        <f t="shared" si="13"/>
        <v>783.55000000000064</v>
      </c>
      <c r="L425" s="87" t="s">
        <v>67</v>
      </c>
      <c r="M425" s="87" t="s">
        <v>64</v>
      </c>
      <c r="N425" s="88" t="s">
        <v>69</v>
      </c>
    </row>
    <row r="426" spans="1:14">
      <c r="A426" s="81">
        <v>45604</v>
      </c>
      <c r="B426" s="82" t="s">
        <v>494</v>
      </c>
      <c r="C426" s="82" t="s">
        <v>36</v>
      </c>
      <c r="D426" s="82" t="s">
        <v>37</v>
      </c>
      <c r="E426" s="82" t="s">
        <v>48</v>
      </c>
      <c r="F426" s="83">
        <v>9</v>
      </c>
      <c r="G426" s="84">
        <v>65.98</v>
      </c>
      <c r="H426" s="85">
        <v>0.12</v>
      </c>
      <c r="I426" s="86">
        <f t="shared" si="12"/>
        <v>522.5616</v>
      </c>
      <c r="J426" s="86">
        <v>249.4</v>
      </c>
      <c r="K426" s="86">
        <f t="shared" si="13"/>
        <v>273.16160000000002</v>
      </c>
      <c r="L426" s="87" t="s">
        <v>59</v>
      </c>
      <c r="M426" s="87" t="s">
        <v>60</v>
      </c>
      <c r="N426" s="88" t="s">
        <v>78</v>
      </c>
    </row>
    <row r="427" spans="1:14">
      <c r="A427" s="81">
        <v>45605</v>
      </c>
      <c r="B427" s="82" t="s">
        <v>495</v>
      </c>
      <c r="C427" s="82" t="s">
        <v>36</v>
      </c>
      <c r="D427" s="82" t="s">
        <v>27</v>
      </c>
      <c r="E427" s="82" t="s">
        <v>25</v>
      </c>
      <c r="F427" s="83">
        <v>8</v>
      </c>
      <c r="G427" s="84">
        <v>1218.68</v>
      </c>
      <c r="H427" s="85">
        <v>0.08</v>
      </c>
      <c r="I427" s="86">
        <f t="shared" si="12"/>
        <v>8969.4848000000002</v>
      </c>
      <c r="J427" s="86">
        <v>6629.62</v>
      </c>
      <c r="K427" s="86">
        <f t="shared" si="13"/>
        <v>2339.8648000000003</v>
      </c>
      <c r="L427" s="87" t="s">
        <v>63</v>
      </c>
      <c r="M427" s="87" t="s">
        <v>60</v>
      </c>
      <c r="N427" s="88" t="s">
        <v>78</v>
      </c>
    </row>
    <row r="428" spans="1:14">
      <c r="A428" s="81">
        <v>45605</v>
      </c>
      <c r="B428" s="82" t="s">
        <v>496</v>
      </c>
      <c r="C428" s="82" t="s">
        <v>31</v>
      </c>
      <c r="D428" s="82" t="s">
        <v>32</v>
      </c>
      <c r="E428" s="82" t="s">
        <v>42</v>
      </c>
      <c r="F428" s="83">
        <v>6</v>
      </c>
      <c r="G428" s="84">
        <v>771.54</v>
      </c>
      <c r="H428" s="85">
        <v>0.12</v>
      </c>
      <c r="I428" s="86">
        <f t="shared" si="12"/>
        <v>4073.7311999999997</v>
      </c>
      <c r="J428" s="86">
        <v>2823.84</v>
      </c>
      <c r="K428" s="86">
        <f t="shared" si="13"/>
        <v>1249.8911999999996</v>
      </c>
      <c r="L428" s="87" t="s">
        <v>59</v>
      </c>
      <c r="M428" s="87" t="s">
        <v>60</v>
      </c>
      <c r="N428" s="88" t="s">
        <v>71</v>
      </c>
    </row>
    <row r="429" spans="1:14">
      <c r="A429" s="81">
        <v>45606</v>
      </c>
      <c r="B429" s="82" t="s">
        <v>497</v>
      </c>
      <c r="C429" s="82" t="s">
        <v>26</v>
      </c>
      <c r="D429" s="82" t="s">
        <v>27</v>
      </c>
      <c r="E429" s="82" t="s">
        <v>35</v>
      </c>
      <c r="F429" s="83">
        <v>8</v>
      </c>
      <c r="G429" s="84">
        <v>364.69</v>
      </c>
      <c r="H429" s="85">
        <v>0.05</v>
      </c>
      <c r="I429" s="86">
        <f t="shared" si="12"/>
        <v>2771.6439999999998</v>
      </c>
      <c r="J429" s="86">
        <v>1750.51</v>
      </c>
      <c r="K429" s="86">
        <f t="shared" si="13"/>
        <v>1021.1339999999998</v>
      </c>
      <c r="L429" s="87" t="s">
        <v>67</v>
      </c>
      <c r="M429" s="87" t="s">
        <v>68</v>
      </c>
      <c r="N429" s="88" t="s">
        <v>74</v>
      </c>
    </row>
    <row r="430" spans="1:14">
      <c r="A430" s="81">
        <v>45606</v>
      </c>
      <c r="B430" s="82" t="s">
        <v>498</v>
      </c>
      <c r="C430" s="82" t="s">
        <v>40</v>
      </c>
      <c r="D430" s="82" t="s">
        <v>27</v>
      </c>
      <c r="E430" s="82" t="s">
        <v>35</v>
      </c>
      <c r="F430" s="83">
        <v>10</v>
      </c>
      <c r="G430" s="84">
        <v>372.08</v>
      </c>
      <c r="H430" s="85">
        <v>0.03</v>
      </c>
      <c r="I430" s="86">
        <f t="shared" si="12"/>
        <v>3609.1759999999995</v>
      </c>
      <c r="J430" s="86">
        <v>2232.48</v>
      </c>
      <c r="K430" s="86">
        <f t="shared" si="13"/>
        <v>1376.6959999999995</v>
      </c>
      <c r="L430" s="87" t="s">
        <v>63</v>
      </c>
      <c r="M430" s="87" t="s">
        <v>68</v>
      </c>
      <c r="N430" s="88" t="s">
        <v>61</v>
      </c>
    </row>
    <row r="431" spans="1:14">
      <c r="A431" s="81">
        <v>45606</v>
      </c>
      <c r="B431" s="82" t="s">
        <v>499</v>
      </c>
      <c r="C431" s="82" t="s">
        <v>40</v>
      </c>
      <c r="D431" s="82" t="s">
        <v>37</v>
      </c>
      <c r="E431" s="82" t="s">
        <v>48</v>
      </c>
      <c r="F431" s="83">
        <v>10</v>
      </c>
      <c r="G431" s="84">
        <v>67.94</v>
      </c>
      <c r="H431" s="85">
        <v>0.03</v>
      </c>
      <c r="I431" s="86">
        <f t="shared" si="12"/>
        <v>659.01799999999992</v>
      </c>
      <c r="J431" s="86">
        <v>285.35000000000002</v>
      </c>
      <c r="K431" s="86">
        <f t="shared" si="13"/>
        <v>373.66799999999989</v>
      </c>
      <c r="L431" s="87" t="s">
        <v>63</v>
      </c>
      <c r="M431" s="87" t="s">
        <v>64</v>
      </c>
      <c r="N431" s="88" t="s">
        <v>78</v>
      </c>
    </row>
    <row r="432" spans="1:14">
      <c r="A432" s="81">
        <v>45606</v>
      </c>
      <c r="B432" s="82" t="s">
        <v>500</v>
      </c>
      <c r="C432" s="82" t="s">
        <v>26</v>
      </c>
      <c r="D432" s="82" t="s">
        <v>32</v>
      </c>
      <c r="E432" s="82" t="s">
        <v>42</v>
      </c>
      <c r="F432" s="83">
        <v>6</v>
      </c>
      <c r="G432" s="84">
        <v>759.2</v>
      </c>
      <c r="H432" s="85">
        <v>0.05</v>
      </c>
      <c r="I432" s="86">
        <f t="shared" si="12"/>
        <v>4327.4400000000005</v>
      </c>
      <c r="J432" s="86">
        <v>2778.67</v>
      </c>
      <c r="K432" s="86">
        <f t="shared" si="13"/>
        <v>1548.7700000000004</v>
      </c>
      <c r="L432" s="87" t="s">
        <v>59</v>
      </c>
      <c r="M432" s="87" t="s">
        <v>64</v>
      </c>
      <c r="N432" s="88" t="s">
        <v>69</v>
      </c>
    </row>
    <row r="433" spans="1:14">
      <c r="A433" s="81">
        <v>45607</v>
      </c>
      <c r="B433" s="82" t="s">
        <v>501</v>
      </c>
      <c r="C433" s="82" t="s">
        <v>26</v>
      </c>
      <c r="D433" s="82" t="s">
        <v>27</v>
      </c>
      <c r="E433" s="82" t="s">
        <v>35</v>
      </c>
      <c r="F433" s="83">
        <v>7</v>
      </c>
      <c r="G433" s="84">
        <v>377.62</v>
      </c>
      <c r="H433" s="85">
        <v>0.1</v>
      </c>
      <c r="I433" s="86">
        <f t="shared" si="12"/>
        <v>2379.0060000000003</v>
      </c>
      <c r="J433" s="86">
        <v>1586</v>
      </c>
      <c r="K433" s="86">
        <f t="shared" si="13"/>
        <v>793.00600000000031</v>
      </c>
      <c r="L433" s="87" t="s">
        <v>59</v>
      </c>
      <c r="M433" s="87" t="s">
        <v>64</v>
      </c>
      <c r="N433" s="88" t="s">
        <v>65</v>
      </c>
    </row>
    <row r="434" spans="1:14">
      <c r="A434" s="81">
        <v>45607</v>
      </c>
      <c r="B434" s="82" t="s">
        <v>502</v>
      </c>
      <c r="C434" s="82" t="s">
        <v>36</v>
      </c>
      <c r="D434" s="82" t="s">
        <v>32</v>
      </c>
      <c r="E434" s="82" t="s">
        <v>42</v>
      </c>
      <c r="F434" s="83">
        <v>11</v>
      </c>
      <c r="G434" s="84">
        <v>772.39</v>
      </c>
      <c r="H434" s="85">
        <v>0.05</v>
      </c>
      <c r="I434" s="86">
        <f t="shared" si="12"/>
        <v>8071.4754999999986</v>
      </c>
      <c r="J434" s="86">
        <v>5182.74</v>
      </c>
      <c r="K434" s="86">
        <f t="shared" si="13"/>
        <v>2888.7354999999989</v>
      </c>
      <c r="L434" s="87" t="s">
        <v>59</v>
      </c>
      <c r="M434" s="87" t="s">
        <v>64</v>
      </c>
      <c r="N434" s="88" t="s">
        <v>78</v>
      </c>
    </row>
    <row r="435" spans="1:14">
      <c r="A435" s="81">
        <v>45608</v>
      </c>
      <c r="B435" s="82" t="s">
        <v>503</v>
      </c>
      <c r="C435" s="82" t="s">
        <v>36</v>
      </c>
      <c r="D435" s="82" t="s">
        <v>27</v>
      </c>
      <c r="E435" s="82" t="s">
        <v>35</v>
      </c>
      <c r="F435" s="83">
        <v>10</v>
      </c>
      <c r="G435" s="84">
        <v>358.43</v>
      </c>
      <c r="H435" s="85">
        <v>0.1</v>
      </c>
      <c r="I435" s="86">
        <f t="shared" si="12"/>
        <v>3225.8700000000003</v>
      </c>
      <c r="J435" s="86">
        <v>2150.58</v>
      </c>
      <c r="K435" s="86">
        <f t="shared" si="13"/>
        <v>1075.2900000000004</v>
      </c>
      <c r="L435" s="87" t="s">
        <v>63</v>
      </c>
      <c r="M435" s="87" t="s">
        <v>60</v>
      </c>
      <c r="N435" s="88" t="s">
        <v>71</v>
      </c>
    </row>
    <row r="436" spans="1:14">
      <c r="A436" s="81">
        <v>45609</v>
      </c>
      <c r="B436" s="82" t="s">
        <v>504</v>
      </c>
      <c r="C436" s="82" t="s">
        <v>36</v>
      </c>
      <c r="D436" s="82" t="s">
        <v>37</v>
      </c>
      <c r="E436" s="82" t="s">
        <v>47</v>
      </c>
      <c r="F436" s="83">
        <v>3</v>
      </c>
      <c r="G436" s="84">
        <v>119.17</v>
      </c>
      <c r="H436" s="85">
        <v>0.12</v>
      </c>
      <c r="I436" s="86">
        <f t="shared" si="12"/>
        <v>314.60879999999997</v>
      </c>
      <c r="J436" s="86">
        <v>164.45</v>
      </c>
      <c r="K436" s="86">
        <f t="shared" si="13"/>
        <v>150.15879999999999</v>
      </c>
      <c r="L436" s="87" t="s">
        <v>67</v>
      </c>
      <c r="M436" s="87" t="s">
        <v>60</v>
      </c>
      <c r="N436" s="88" t="s">
        <v>61</v>
      </c>
    </row>
    <row r="437" spans="1:14">
      <c r="A437" s="81">
        <v>45610</v>
      </c>
      <c r="B437" s="82" t="s">
        <v>505</v>
      </c>
      <c r="C437" s="82" t="s">
        <v>36</v>
      </c>
      <c r="D437" s="82" t="s">
        <v>32</v>
      </c>
      <c r="E437" s="82" t="s">
        <v>42</v>
      </c>
      <c r="F437" s="83">
        <v>2</v>
      </c>
      <c r="G437" s="84">
        <v>750.44</v>
      </c>
      <c r="H437" s="85">
        <v>0</v>
      </c>
      <c r="I437" s="86">
        <f t="shared" si="12"/>
        <v>1500.88</v>
      </c>
      <c r="J437" s="86">
        <v>915.54</v>
      </c>
      <c r="K437" s="86">
        <f t="shared" si="13"/>
        <v>585.34000000000015</v>
      </c>
      <c r="L437" s="87" t="s">
        <v>63</v>
      </c>
      <c r="M437" s="87" t="s">
        <v>68</v>
      </c>
      <c r="N437" s="88" t="s">
        <v>69</v>
      </c>
    </row>
    <row r="438" spans="1:14">
      <c r="A438" s="81">
        <v>45610</v>
      </c>
      <c r="B438" s="82" t="s">
        <v>506</v>
      </c>
      <c r="C438" s="82" t="s">
        <v>31</v>
      </c>
      <c r="D438" s="82" t="s">
        <v>27</v>
      </c>
      <c r="E438" s="82" t="s">
        <v>30</v>
      </c>
      <c r="F438" s="83">
        <v>9</v>
      </c>
      <c r="G438" s="84">
        <v>597.69000000000005</v>
      </c>
      <c r="H438" s="85">
        <v>0</v>
      </c>
      <c r="I438" s="86">
        <f t="shared" si="12"/>
        <v>5379.2100000000009</v>
      </c>
      <c r="J438" s="86">
        <v>3442.69</v>
      </c>
      <c r="K438" s="86">
        <f t="shared" si="13"/>
        <v>1936.5200000000009</v>
      </c>
      <c r="L438" s="87" t="s">
        <v>67</v>
      </c>
      <c r="M438" s="87" t="s">
        <v>60</v>
      </c>
      <c r="N438" s="88" t="s">
        <v>65</v>
      </c>
    </row>
    <row r="439" spans="1:14">
      <c r="A439" s="81">
        <v>45611</v>
      </c>
      <c r="B439" s="82" t="s">
        <v>507</v>
      </c>
      <c r="C439" s="82" t="s">
        <v>36</v>
      </c>
      <c r="D439" s="82" t="s">
        <v>32</v>
      </c>
      <c r="E439" s="82" t="s">
        <v>39</v>
      </c>
      <c r="F439" s="83">
        <v>10</v>
      </c>
      <c r="G439" s="84">
        <v>430.03</v>
      </c>
      <c r="H439" s="85">
        <v>0.05</v>
      </c>
      <c r="I439" s="86">
        <f t="shared" si="12"/>
        <v>4085.2849999999989</v>
      </c>
      <c r="J439" s="86">
        <v>2451.17</v>
      </c>
      <c r="K439" s="86">
        <f t="shared" si="13"/>
        <v>1634.1149999999989</v>
      </c>
      <c r="L439" s="87" t="s">
        <v>59</v>
      </c>
      <c r="M439" s="87" t="s">
        <v>60</v>
      </c>
      <c r="N439" s="88" t="s">
        <v>71</v>
      </c>
    </row>
    <row r="440" spans="1:14">
      <c r="A440" s="81">
        <v>45612</v>
      </c>
      <c r="B440" s="82" t="s">
        <v>508</v>
      </c>
      <c r="C440" s="82" t="s">
        <v>40</v>
      </c>
      <c r="D440" s="82" t="s">
        <v>27</v>
      </c>
      <c r="E440" s="82" t="s">
        <v>35</v>
      </c>
      <c r="F440" s="83">
        <v>3</v>
      </c>
      <c r="G440" s="84">
        <v>378.14</v>
      </c>
      <c r="H440" s="85">
        <v>0.05</v>
      </c>
      <c r="I440" s="86">
        <f t="shared" si="12"/>
        <v>1077.6990000000001</v>
      </c>
      <c r="J440" s="86">
        <v>680.65</v>
      </c>
      <c r="K440" s="86">
        <f t="shared" si="13"/>
        <v>397.04900000000009</v>
      </c>
      <c r="L440" s="87" t="s">
        <v>59</v>
      </c>
      <c r="M440" s="87" t="s">
        <v>60</v>
      </c>
      <c r="N440" s="88" t="s">
        <v>65</v>
      </c>
    </row>
    <row r="441" spans="1:14">
      <c r="A441" s="81">
        <v>45612</v>
      </c>
      <c r="B441" s="82" t="s">
        <v>509</v>
      </c>
      <c r="C441" s="82" t="s">
        <v>40</v>
      </c>
      <c r="D441" s="82" t="s">
        <v>37</v>
      </c>
      <c r="E441" s="82" t="s">
        <v>47</v>
      </c>
      <c r="F441" s="83">
        <v>10</v>
      </c>
      <c r="G441" s="84">
        <v>115.91</v>
      </c>
      <c r="H441" s="85">
        <v>0.08</v>
      </c>
      <c r="I441" s="86">
        <f t="shared" si="12"/>
        <v>1066.3720000000001</v>
      </c>
      <c r="J441" s="86">
        <v>533.19000000000005</v>
      </c>
      <c r="K441" s="86">
        <f t="shared" si="13"/>
        <v>533.18200000000002</v>
      </c>
      <c r="L441" s="87" t="s">
        <v>67</v>
      </c>
      <c r="M441" s="87" t="s">
        <v>68</v>
      </c>
      <c r="N441" s="88" t="s">
        <v>69</v>
      </c>
    </row>
    <row r="442" spans="1:14">
      <c r="A442" s="81">
        <v>45615</v>
      </c>
      <c r="B442" s="82" t="s">
        <v>510</v>
      </c>
      <c r="C442" s="82" t="s">
        <v>40</v>
      </c>
      <c r="D442" s="82" t="s">
        <v>27</v>
      </c>
      <c r="E442" s="82" t="s">
        <v>30</v>
      </c>
      <c r="F442" s="83">
        <v>5</v>
      </c>
      <c r="G442" s="84">
        <v>639.97</v>
      </c>
      <c r="H442" s="85">
        <v>0.08</v>
      </c>
      <c r="I442" s="86">
        <f t="shared" si="12"/>
        <v>2943.8620000000005</v>
      </c>
      <c r="J442" s="86">
        <v>2047.9</v>
      </c>
      <c r="K442" s="86">
        <f t="shared" si="13"/>
        <v>895.96200000000044</v>
      </c>
      <c r="L442" s="87" t="s">
        <v>63</v>
      </c>
      <c r="M442" s="87" t="s">
        <v>60</v>
      </c>
      <c r="N442" s="88" t="s">
        <v>69</v>
      </c>
    </row>
    <row r="443" spans="1:14">
      <c r="A443" s="81">
        <v>45615</v>
      </c>
      <c r="B443" s="82" t="s">
        <v>511</v>
      </c>
      <c r="C443" s="82" t="s">
        <v>40</v>
      </c>
      <c r="D443" s="82" t="s">
        <v>32</v>
      </c>
      <c r="E443" s="82" t="s">
        <v>39</v>
      </c>
      <c r="F443" s="83">
        <v>6</v>
      </c>
      <c r="G443" s="84">
        <v>426.14</v>
      </c>
      <c r="H443" s="85">
        <v>0.1</v>
      </c>
      <c r="I443" s="86">
        <f t="shared" si="12"/>
        <v>2301.1560000000004</v>
      </c>
      <c r="J443" s="86">
        <v>1457.4</v>
      </c>
      <c r="K443" s="86">
        <f t="shared" si="13"/>
        <v>843.75600000000031</v>
      </c>
      <c r="L443" s="87" t="s">
        <v>59</v>
      </c>
      <c r="M443" s="87" t="s">
        <v>68</v>
      </c>
      <c r="N443" s="88" t="s">
        <v>69</v>
      </c>
    </row>
    <row r="444" spans="1:14">
      <c r="A444" s="81">
        <v>45616</v>
      </c>
      <c r="B444" s="82" t="s">
        <v>512</v>
      </c>
      <c r="C444" s="82" t="s">
        <v>31</v>
      </c>
      <c r="D444" s="82" t="s">
        <v>27</v>
      </c>
      <c r="E444" s="82" t="s">
        <v>35</v>
      </c>
      <c r="F444" s="83">
        <v>9</v>
      </c>
      <c r="G444" s="84">
        <v>380.81</v>
      </c>
      <c r="H444" s="85">
        <v>0.05</v>
      </c>
      <c r="I444" s="86">
        <f t="shared" si="12"/>
        <v>3255.9254999999998</v>
      </c>
      <c r="J444" s="86">
        <v>2056.37</v>
      </c>
      <c r="K444" s="86">
        <f t="shared" si="13"/>
        <v>1199.5554999999999</v>
      </c>
      <c r="L444" s="87" t="s">
        <v>63</v>
      </c>
      <c r="M444" s="87" t="s">
        <v>60</v>
      </c>
      <c r="N444" s="88" t="s">
        <v>69</v>
      </c>
    </row>
    <row r="445" spans="1:14">
      <c r="A445" s="81">
        <v>45616</v>
      </c>
      <c r="B445" s="82" t="s">
        <v>513</v>
      </c>
      <c r="C445" s="82" t="s">
        <v>36</v>
      </c>
      <c r="D445" s="82" t="s">
        <v>32</v>
      </c>
      <c r="E445" s="82" t="s">
        <v>39</v>
      </c>
      <c r="F445" s="83">
        <v>3</v>
      </c>
      <c r="G445" s="84">
        <v>434.68</v>
      </c>
      <c r="H445" s="85">
        <v>0.03</v>
      </c>
      <c r="I445" s="86">
        <f t="shared" si="12"/>
        <v>1264.9187999999999</v>
      </c>
      <c r="J445" s="86">
        <v>743.3</v>
      </c>
      <c r="K445" s="86">
        <f t="shared" si="13"/>
        <v>521.61879999999996</v>
      </c>
      <c r="L445" s="87" t="s">
        <v>67</v>
      </c>
      <c r="M445" s="87" t="s">
        <v>64</v>
      </c>
      <c r="N445" s="88" t="s">
        <v>71</v>
      </c>
    </row>
    <row r="446" spans="1:14">
      <c r="A446" s="81">
        <v>45617</v>
      </c>
      <c r="B446" s="82" t="s">
        <v>514</v>
      </c>
      <c r="C446" s="82" t="s">
        <v>26</v>
      </c>
      <c r="D446" s="82" t="s">
        <v>37</v>
      </c>
      <c r="E446" s="82" t="s">
        <v>48</v>
      </c>
      <c r="F446" s="83">
        <v>7</v>
      </c>
      <c r="G446" s="84">
        <v>70.72</v>
      </c>
      <c r="H446" s="85">
        <v>0.1</v>
      </c>
      <c r="I446" s="86">
        <f t="shared" si="12"/>
        <v>445.536</v>
      </c>
      <c r="J446" s="86">
        <v>207.92</v>
      </c>
      <c r="K446" s="86">
        <f t="shared" si="13"/>
        <v>237.61600000000001</v>
      </c>
      <c r="L446" s="87" t="s">
        <v>63</v>
      </c>
      <c r="M446" s="87" t="s">
        <v>64</v>
      </c>
      <c r="N446" s="88" t="s">
        <v>74</v>
      </c>
    </row>
    <row r="447" spans="1:14">
      <c r="A447" s="81">
        <v>45617</v>
      </c>
      <c r="B447" s="82" t="s">
        <v>515</v>
      </c>
      <c r="C447" s="82" t="s">
        <v>36</v>
      </c>
      <c r="D447" s="82" t="s">
        <v>32</v>
      </c>
      <c r="E447" s="82" t="s">
        <v>42</v>
      </c>
      <c r="F447" s="83">
        <v>5</v>
      </c>
      <c r="G447" s="84">
        <v>733.54</v>
      </c>
      <c r="H447" s="85">
        <v>0</v>
      </c>
      <c r="I447" s="86">
        <f t="shared" si="12"/>
        <v>3667.7</v>
      </c>
      <c r="J447" s="86">
        <v>2237.3000000000002</v>
      </c>
      <c r="K447" s="86">
        <f t="shared" si="13"/>
        <v>1430.3999999999996</v>
      </c>
      <c r="L447" s="87" t="s">
        <v>59</v>
      </c>
      <c r="M447" s="87" t="s">
        <v>60</v>
      </c>
      <c r="N447" s="88" t="s">
        <v>69</v>
      </c>
    </row>
    <row r="448" spans="1:14">
      <c r="A448" s="81">
        <v>45618</v>
      </c>
      <c r="B448" s="82" t="s">
        <v>516</v>
      </c>
      <c r="C448" s="82" t="s">
        <v>31</v>
      </c>
      <c r="D448" s="82" t="s">
        <v>27</v>
      </c>
      <c r="E448" s="82" t="s">
        <v>30</v>
      </c>
      <c r="F448" s="83">
        <v>10</v>
      </c>
      <c r="G448" s="84">
        <v>641.70000000000005</v>
      </c>
      <c r="H448" s="85">
        <v>0.03</v>
      </c>
      <c r="I448" s="86">
        <f t="shared" si="12"/>
        <v>6224.49</v>
      </c>
      <c r="J448" s="86">
        <v>4106.88</v>
      </c>
      <c r="K448" s="86">
        <f t="shared" si="13"/>
        <v>2117.6099999999997</v>
      </c>
      <c r="L448" s="87" t="s">
        <v>63</v>
      </c>
      <c r="M448" s="87" t="s">
        <v>60</v>
      </c>
      <c r="N448" s="88" t="s">
        <v>71</v>
      </c>
    </row>
    <row r="449" spans="1:14">
      <c r="A449" s="81">
        <v>45618</v>
      </c>
      <c r="B449" s="82" t="s">
        <v>517</v>
      </c>
      <c r="C449" s="82" t="s">
        <v>26</v>
      </c>
      <c r="D449" s="82" t="s">
        <v>27</v>
      </c>
      <c r="E449" s="82" t="s">
        <v>30</v>
      </c>
      <c r="F449" s="83">
        <v>7</v>
      </c>
      <c r="G449" s="84">
        <v>635.63</v>
      </c>
      <c r="H449" s="85">
        <v>0.1</v>
      </c>
      <c r="I449" s="86">
        <f t="shared" si="12"/>
        <v>4004.4690000000001</v>
      </c>
      <c r="J449" s="86">
        <v>2847.62</v>
      </c>
      <c r="K449" s="86">
        <f t="shared" si="13"/>
        <v>1156.8490000000002</v>
      </c>
      <c r="L449" s="87" t="s">
        <v>59</v>
      </c>
      <c r="M449" s="87" t="s">
        <v>64</v>
      </c>
      <c r="N449" s="88" t="s">
        <v>74</v>
      </c>
    </row>
    <row r="450" spans="1:14">
      <c r="A450" s="81">
        <v>45618</v>
      </c>
      <c r="B450" s="82" t="s">
        <v>518</v>
      </c>
      <c r="C450" s="82" t="s">
        <v>26</v>
      </c>
      <c r="D450" s="82" t="s">
        <v>27</v>
      </c>
      <c r="E450" s="82" t="s">
        <v>35</v>
      </c>
      <c r="F450" s="83">
        <v>7</v>
      </c>
      <c r="G450" s="84">
        <v>362.19</v>
      </c>
      <c r="H450" s="85">
        <v>0.08</v>
      </c>
      <c r="I450" s="86">
        <f t="shared" ref="I450:I513" si="14">F450*G450*(1-H450)</f>
        <v>2332.5036</v>
      </c>
      <c r="J450" s="86">
        <v>1521.2</v>
      </c>
      <c r="K450" s="86">
        <f t="shared" ref="K450:K513" si="15">I450-J450</f>
        <v>811.30359999999996</v>
      </c>
      <c r="L450" s="87" t="s">
        <v>59</v>
      </c>
      <c r="M450" s="87" t="s">
        <v>64</v>
      </c>
      <c r="N450" s="88" t="s">
        <v>61</v>
      </c>
    </row>
    <row r="451" spans="1:14">
      <c r="A451" s="81">
        <v>45619</v>
      </c>
      <c r="B451" s="82" t="s">
        <v>519</v>
      </c>
      <c r="C451" s="82" t="s">
        <v>36</v>
      </c>
      <c r="D451" s="82" t="s">
        <v>32</v>
      </c>
      <c r="E451" s="82" t="s">
        <v>42</v>
      </c>
      <c r="F451" s="83">
        <v>8</v>
      </c>
      <c r="G451" s="84">
        <v>798.95</v>
      </c>
      <c r="H451" s="85">
        <v>0.1</v>
      </c>
      <c r="I451" s="86">
        <f t="shared" si="14"/>
        <v>5752.4400000000005</v>
      </c>
      <c r="J451" s="86">
        <v>3898.88</v>
      </c>
      <c r="K451" s="86">
        <f t="shared" si="15"/>
        <v>1853.5600000000004</v>
      </c>
      <c r="L451" s="87" t="s">
        <v>59</v>
      </c>
      <c r="M451" s="87" t="s">
        <v>68</v>
      </c>
      <c r="N451" s="88" t="s">
        <v>69</v>
      </c>
    </row>
    <row r="452" spans="1:14">
      <c r="A452" s="81">
        <v>45619</v>
      </c>
      <c r="B452" s="82" t="s">
        <v>520</v>
      </c>
      <c r="C452" s="82" t="s">
        <v>26</v>
      </c>
      <c r="D452" s="82" t="s">
        <v>27</v>
      </c>
      <c r="E452" s="82" t="s">
        <v>30</v>
      </c>
      <c r="F452" s="83">
        <v>2</v>
      </c>
      <c r="G452" s="84">
        <v>650.54999999999995</v>
      </c>
      <c r="H452" s="85">
        <v>0.05</v>
      </c>
      <c r="I452" s="86">
        <f t="shared" si="14"/>
        <v>1236.0449999999998</v>
      </c>
      <c r="J452" s="86">
        <v>832.7</v>
      </c>
      <c r="K452" s="86">
        <f t="shared" si="15"/>
        <v>403.3449999999998</v>
      </c>
      <c r="L452" s="87" t="s">
        <v>59</v>
      </c>
      <c r="M452" s="87" t="s">
        <v>60</v>
      </c>
      <c r="N452" s="88" t="s">
        <v>65</v>
      </c>
    </row>
    <row r="453" spans="1:14">
      <c r="A453" s="81">
        <v>45620</v>
      </c>
      <c r="B453" s="82" t="s">
        <v>521</v>
      </c>
      <c r="C453" s="82" t="s">
        <v>31</v>
      </c>
      <c r="D453" s="82" t="s">
        <v>27</v>
      </c>
      <c r="E453" s="82" t="s">
        <v>30</v>
      </c>
      <c r="F453" s="83">
        <v>2</v>
      </c>
      <c r="G453" s="84">
        <v>634.95000000000005</v>
      </c>
      <c r="H453" s="85">
        <v>0.08</v>
      </c>
      <c r="I453" s="86">
        <f t="shared" si="14"/>
        <v>1168.3080000000002</v>
      </c>
      <c r="J453" s="86">
        <v>812.74</v>
      </c>
      <c r="K453" s="86">
        <f t="shared" si="15"/>
        <v>355.56800000000021</v>
      </c>
      <c r="L453" s="87" t="s">
        <v>63</v>
      </c>
      <c r="M453" s="87" t="s">
        <v>64</v>
      </c>
      <c r="N453" s="88" t="s">
        <v>74</v>
      </c>
    </row>
    <row r="454" spans="1:14">
      <c r="A454" s="81">
        <v>45620</v>
      </c>
      <c r="B454" s="82" t="s">
        <v>522</v>
      </c>
      <c r="C454" s="82" t="s">
        <v>31</v>
      </c>
      <c r="D454" s="82" t="s">
        <v>27</v>
      </c>
      <c r="E454" s="82" t="s">
        <v>30</v>
      </c>
      <c r="F454" s="83">
        <v>7</v>
      </c>
      <c r="G454" s="84">
        <v>624.02</v>
      </c>
      <c r="H454" s="85">
        <v>0.05</v>
      </c>
      <c r="I454" s="86">
        <f t="shared" si="14"/>
        <v>4149.7329999999993</v>
      </c>
      <c r="J454" s="86">
        <v>2795.61</v>
      </c>
      <c r="K454" s="86">
        <f t="shared" si="15"/>
        <v>1354.1229999999991</v>
      </c>
      <c r="L454" s="87" t="s">
        <v>63</v>
      </c>
      <c r="M454" s="87" t="s">
        <v>64</v>
      </c>
      <c r="N454" s="88" t="s">
        <v>78</v>
      </c>
    </row>
    <row r="455" spans="1:14">
      <c r="A455" s="81">
        <v>45621</v>
      </c>
      <c r="B455" s="82" t="s">
        <v>523</v>
      </c>
      <c r="C455" s="82" t="s">
        <v>36</v>
      </c>
      <c r="D455" s="82" t="s">
        <v>27</v>
      </c>
      <c r="E455" s="82" t="s">
        <v>35</v>
      </c>
      <c r="F455" s="83">
        <v>4</v>
      </c>
      <c r="G455" s="84">
        <v>349.8</v>
      </c>
      <c r="H455" s="85">
        <v>0.1</v>
      </c>
      <c r="I455" s="86">
        <f t="shared" si="14"/>
        <v>1259.28</v>
      </c>
      <c r="J455" s="86">
        <v>839.52</v>
      </c>
      <c r="K455" s="86">
        <f t="shared" si="15"/>
        <v>419.76</v>
      </c>
      <c r="L455" s="87" t="s">
        <v>67</v>
      </c>
      <c r="M455" s="87" t="s">
        <v>60</v>
      </c>
      <c r="N455" s="88" t="s">
        <v>69</v>
      </c>
    </row>
    <row r="456" spans="1:14">
      <c r="A456" s="81">
        <v>45621</v>
      </c>
      <c r="B456" s="82" t="s">
        <v>524</v>
      </c>
      <c r="C456" s="82" t="s">
        <v>40</v>
      </c>
      <c r="D456" s="82" t="s">
        <v>37</v>
      </c>
      <c r="E456" s="82" t="s">
        <v>48</v>
      </c>
      <c r="F456" s="83">
        <v>5</v>
      </c>
      <c r="G456" s="84">
        <v>70</v>
      </c>
      <c r="H456" s="85">
        <v>0.1</v>
      </c>
      <c r="I456" s="86">
        <f t="shared" si="14"/>
        <v>315</v>
      </c>
      <c r="J456" s="86">
        <v>147</v>
      </c>
      <c r="K456" s="86">
        <f t="shared" si="15"/>
        <v>168</v>
      </c>
      <c r="L456" s="87" t="s">
        <v>67</v>
      </c>
      <c r="M456" s="87" t="s">
        <v>68</v>
      </c>
      <c r="N456" s="88" t="s">
        <v>71</v>
      </c>
    </row>
    <row r="457" spans="1:14">
      <c r="A457" s="81">
        <v>45621</v>
      </c>
      <c r="B457" s="82" t="s">
        <v>525</v>
      </c>
      <c r="C457" s="82" t="s">
        <v>40</v>
      </c>
      <c r="D457" s="82" t="s">
        <v>37</v>
      </c>
      <c r="E457" s="82" t="s">
        <v>47</v>
      </c>
      <c r="F457" s="83">
        <v>10</v>
      </c>
      <c r="G457" s="84">
        <v>121.43</v>
      </c>
      <c r="H457" s="85">
        <v>0.08</v>
      </c>
      <c r="I457" s="86">
        <f t="shared" si="14"/>
        <v>1117.1560000000002</v>
      </c>
      <c r="J457" s="86">
        <v>558.58000000000004</v>
      </c>
      <c r="K457" s="86">
        <f t="shared" si="15"/>
        <v>558.57600000000014</v>
      </c>
      <c r="L457" s="87" t="s">
        <v>63</v>
      </c>
      <c r="M457" s="87" t="s">
        <v>68</v>
      </c>
      <c r="N457" s="88" t="s">
        <v>78</v>
      </c>
    </row>
    <row r="458" spans="1:14">
      <c r="A458" s="81">
        <v>45622</v>
      </c>
      <c r="B458" s="82" t="s">
        <v>526</v>
      </c>
      <c r="C458" s="82" t="s">
        <v>40</v>
      </c>
      <c r="D458" s="82" t="s">
        <v>37</v>
      </c>
      <c r="E458" s="82" t="s">
        <v>48</v>
      </c>
      <c r="F458" s="83">
        <v>4</v>
      </c>
      <c r="G458" s="84">
        <v>68.11</v>
      </c>
      <c r="H458" s="85">
        <v>0.12</v>
      </c>
      <c r="I458" s="86">
        <f t="shared" si="14"/>
        <v>239.74719999999999</v>
      </c>
      <c r="J458" s="86">
        <v>114.42</v>
      </c>
      <c r="K458" s="86">
        <f t="shared" si="15"/>
        <v>125.32719999999999</v>
      </c>
      <c r="L458" s="87" t="s">
        <v>67</v>
      </c>
      <c r="M458" s="87" t="s">
        <v>68</v>
      </c>
      <c r="N458" s="88" t="s">
        <v>74</v>
      </c>
    </row>
    <row r="459" spans="1:14">
      <c r="A459" s="81">
        <v>45623</v>
      </c>
      <c r="B459" s="82" t="s">
        <v>527</v>
      </c>
      <c r="C459" s="82" t="s">
        <v>31</v>
      </c>
      <c r="D459" s="82" t="s">
        <v>27</v>
      </c>
      <c r="E459" s="82" t="s">
        <v>35</v>
      </c>
      <c r="F459" s="83">
        <v>4</v>
      </c>
      <c r="G459" s="84">
        <v>357.16</v>
      </c>
      <c r="H459" s="85">
        <v>0</v>
      </c>
      <c r="I459" s="86">
        <f t="shared" si="14"/>
        <v>1428.64</v>
      </c>
      <c r="J459" s="86">
        <v>857.18</v>
      </c>
      <c r="K459" s="86">
        <f t="shared" si="15"/>
        <v>571.46000000000015</v>
      </c>
      <c r="L459" s="87" t="s">
        <v>67</v>
      </c>
      <c r="M459" s="87" t="s">
        <v>60</v>
      </c>
      <c r="N459" s="88" t="s">
        <v>61</v>
      </c>
    </row>
    <row r="460" spans="1:14">
      <c r="A460" s="81">
        <v>45623</v>
      </c>
      <c r="B460" s="82" t="s">
        <v>528</v>
      </c>
      <c r="C460" s="82" t="s">
        <v>26</v>
      </c>
      <c r="D460" s="82" t="s">
        <v>32</v>
      </c>
      <c r="E460" s="82" t="s">
        <v>46</v>
      </c>
      <c r="F460" s="83">
        <v>7</v>
      </c>
      <c r="G460" s="84">
        <v>93.1</v>
      </c>
      <c r="H460" s="85">
        <v>0.08</v>
      </c>
      <c r="I460" s="86">
        <f t="shared" si="14"/>
        <v>599.56399999999996</v>
      </c>
      <c r="J460" s="86">
        <v>312.82</v>
      </c>
      <c r="K460" s="86">
        <f t="shared" si="15"/>
        <v>286.74399999999997</v>
      </c>
      <c r="L460" s="87" t="s">
        <v>67</v>
      </c>
      <c r="M460" s="87" t="s">
        <v>60</v>
      </c>
      <c r="N460" s="88" t="s">
        <v>74</v>
      </c>
    </row>
    <row r="461" spans="1:14">
      <c r="A461" s="81">
        <v>45624</v>
      </c>
      <c r="B461" s="82" t="s">
        <v>529</v>
      </c>
      <c r="C461" s="82" t="s">
        <v>26</v>
      </c>
      <c r="D461" s="82" t="s">
        <v>32</v>
      </c>
      <c r="E461" s="82" t="s">
        <v>39</v>
      </c>
      <c r="F461" s="83">
        <v>9</v>
      </c>
      <c r="G461" s="84">
        <v>441.27</v>
      </c>
      <c r="H461" s="85">
        <v>0.05</v>
      </c>
      <c r="I461" s="86">
        <f t="shared" si="14"/>
        <v>3772.8584999999998</v>
      </c>
      <c r="J461" s="86">
        <v>2263.7199999999998</v>
      </c>
      <c r="K461" s="86">
        <f t="shared" si="15"/>
        <v>1509.1385</v>
      </c>
      <c r="L461" s="87" t="s">
        <v>59</v>
      </c>
      <c r="M461" s="87" t="s">
        <v>60</v>
      </c>
      <c r="N461" s="88" t="s">
        <v>69</v>
      </c>
    </row>
    <row r="462" spans="1:14">
      <c r="A462" s="81">
        <v>45624</v>
      </c>
      <c r="B462" s="82" t="s">
        <v>530</v>
      </c>
      <c r="C462" s="82" t="s">
        <v>40</v>
      </c>
      <c r="D462" s="82" t="s">
        <v>27</v>
      </c>
      <c r="E462" s="82" t="s">
        <v>35</v>
      </c>
      <c r="F462" s="83">
        <v>16</v>
      </c>
      <c r="G462" s="84">
        <v>364.38</v>
      </c>
      <c r="H462" s="85">
        <v>0.12</v>
      </c>
      <c r="I462" s="86">
        <f t="shared" si="14"/>
        <v>5130.4704000000002</v>
      </c>
      <c r="J462" s="86">
        <v>3498.05</v>
      </c>
      <c r="K462" s="86">
        <f t="shared" si="15"/>
        <v>1632.4204</v>
      </c>
      <c r="L462" s="87" t="s">
        <v>59</v>
      </c>
      <c r="M462" s="87" t="s">
        <v>68</v>
      </c>
      <c r="N462" s="88" t="s">
        <v>65</v>
      </c>
    </row>
    <row r="463" spans="1:14">
      <c r="A463" s="81">
        <v>45625</v>
      </c>
      <c r="B463" s="82" t="s">
        <v>531</v>
      </c>
      <c r="C463" s="82" t="s">
        <v>31</v>
      </c>
      <c r="D463" s="82" t="s">
        <v>27</v>
      </c>
      <c r="E463" s="82" t="s">
        <v>25</v>
      </c>
      <c r="F463" s="83">
        <v>3</v>
      </c>
      <c r="G463" s="84">
        <v>1181.01</v>
      </c>
      <c r="H463" s="85">
        <v>0.03</v>
      </c>
      <c r="I463" s="86">
        <f t="shared" si="14"/>
        <v>3436.7390999999998</v>
      </c>
      <c r="J463" s="86">
        <v>2409.2600000000002</v>
      </c>
      <c r="K463" s="86">
        <f t="shared" si="15"/>
        <v>1027.4790999999996</v>
      </c>
      <c r="L463" s="87" t="s">
        <v>67</v>
      </c>
      <c r="M463" s="87" t="s">
        <v>68</v>
      </c>
      <c r="N463" s="88" t="s">
        <v>61</v>
      </c>
    </row>
    <row r="464" spans="1:14">
      <c r="A464" s="81">
        <v>45626</v>
      </c>
      <c r="B464" s="82" t="s">
        <v>532</v>
      </c>
      <c r="C464" s="82" t="s">
        <v>31</v>
      </c>
      <c r="D464" s="82" t="s">
        <v>32</v>
      </c>
      <c r="E464" s="82" t="s">
        <v>39</v>
      </c>
      <c r="F464" s="83">
        <v>5</v>
      </c>
      <c r="G464" s="84">
        <v>435.71</v>
      </c>
      <c r="H464" s="85">
        <v>0.05</v>
      </c>
      <c r="I464" s="86">
        <f t="shared" si="14"/>
        <v>2069.6224999999995</v>
      </c>
      <c r="J464" s="86">
        <v>1241.77</v>
      </c>
      <c r="K464" s="86">
        <f t="shared" si="15"/>
        <v>827.85249999999951</v>
      </c>
      <c r="L464" s="87" t="s">
        <v>59</v>
      </c>
      <c r="M464" s="87" t="s">
        <v>60</v>
      </c>
      <c r="N464" s="88" t="s">
        <v>65</v>
      </c>
    </row>
    <row r="465" spans="1:14">
      <c r="A465" s="81">
        <v>45627</v>
      </c>
      <c r="B465" s="82" t="s">
        <v>533</v>
      </c>
      <c r="C465" s="82" t="s">
        <v>26</v>
      </c>
      <c r="D465" s="82" t="s">
        <v>32</v>
      </c>
      <c r="E465" s="82" t="s">
        <v>46</v>
      </c>
      <c r="F465" s="83">
        <v>6</v>
      </c>
      <c r="G465" s="84">
        <v>95.07</v>
      </c>
      <c r="H465" s="85">
        <v>0</v>
      </c>
      <c r="I465" s="86">
        <f t="shared" si="14"/>
        <v>570.41999999999996</v>
      </c>
      <c r="J465" s="86">
        <v>273.8</v>
      </c>
      <c r="K465" s="86">
        <f t="shared" si="15"/>
        <v>296.61999999999995</v>
      </c>
      <c r="L465" s="87" t="s">
        <v>63</v>
      </c>
      <c r="M465" s="87" t="s">
        <v>60</v>
      </c>
      <c r="N465" s="88" t="s">
        <v>74</v>
      </c>
    </row>
    <row r="466" spans="1:14">
      <c r="A466" s="81">
        <v>45627</v>
      </c>
      <c r="B466" s="82" t="s">
        <v>534</v>
      </c>
      <c r="C466" s="82" t="s">
        <v>26</v>
      </c>
      <c r="D466" s="82" t="s">
        <v>27</v>
      </c>
      <c r="E466" s="82" t="s">
        <v>35</v>
      </c>
      <c r="F466" s="83">
        <v>9</v>
      </c>
      <c r="G466" s="84">
        <v>377.71</v>
      </c>
      <c r="H466" s="85">
        <v>0.03</v>
      </c>
      <c r="I466" s="86">
        <f t="shared" si="14"/>
        <v>3297.4082999999996</v>
      </c>
      <c r="J466" s="86">
        <v>2039.63</v>
      </c>
      <c r="K466" s="86">
        <f t="shared" si="15"/>
        <v>1257.7782999999995</v>
      </c>
      <c r="L466" s="87" t="s">
        <v>59</v>
      </c>
      <c r="M466" s="87" t="s">
        <v>60</v>
      </c>
      <c r="N466" s="88" t="s">
        <v>74</v>
      </c>
    </row>
    <row r="467" spans="1:14">
      <c r="A467" s="81">
        <v>45627</v>
      </c>
      <c r="B467" s="82" t="s">
        <v>535</v>
      </c>
      <c r="C467" s="82" t="s">
        <v>40</v>
      </c>
      <c r="D467" s="82" t="s">
        <v>32</v>
      </c>
      <c r="E467" s="82" t="s">
        <v>39</v>
      </c>
      <c r="F467" s="83">
        <v>16</v>
      </c>
      <c r="G467" s="84">
        <v>418.22</v>
      </c>
      <c r="H467" s="85">
        <v>0.08</v>
      </c>
      <c r="I467" s="86">
        <f t="shared" si="14"/>
        <v>6156.1984000000002</v>
      </c>
      <c r="J467" s="86">
        <v>3814.17</v>
      </c>
      <c r="K467" s="86">
        <f t="shared" si="15"/>
        <v>2342.0284000000001</v>
      </c>
      <c r="L467" s="87" t="s">
        <v>63</v>
      </c>
      <c r="M467" s="87" t="s">
        <v>68</v>
      </c>
      <c r="N467" s="88" t="s">
        <v>61</v>
      </c>
    </row>
    <row r="468" spans="1:14">
      <c r="A468" s="81">
        <v>45629</v>
      </c>
      <c r="B468" s="82" t="s">
        <v>536</v>
      </c>
      <c r="C468" s="82" t="s">
        <v>36</v>
      </c>
      <c r="D468" s="82" t="s">
        <v>32</v>
      </c>
      <c r="E468" s="82" t="s">
        <v>42</v>
      </c>
      <c r="F468" s="83">
        <v>6</v>
      </c>
      <c r="G468" s="84">
        <v>741.65</v>
      </c>
      <c r="H468" s="85">
        <v>0.1</v>
      </c>
      <c r="I468" s="86">
        <f t="shared" si="14"/>
        <v>4004.91</v>
      </c>
      <c r="J468" s="86">
        <v>2714.44</v>
      </c>
      <c r="K468" s="86">
        <f t="shared" si="15"/>
        <v>1290.4699999999998</v>
      </c>
      <c r="L468" s="87" t="s">
        <v>67</v>
      </c>
      <c r="M468" s="87" t="s">
        <v>64</v>
      </c>
      <c r="N468" s="88" t="s">
        <v>65</v>
      </c>
    </row>
    <row r="469" spans="1:14">
      <c r="A469" s="81">
        <v>45631</v>
      </c>
      <c r="B469" s="82" t="s">
        <v>537</v>
      </c>
      <c r="C469" s="82" t="s">
        <v>26</v>
      </c>
      <c r="D469" s="82" t="s">
        <v>27</v>
      </c>
      <c r="E469" s="82" t="s">
        <v>25</v>
      </c>
      <c r="F469" s="83">
        <v>4</v>
      </c>
      <c r="G469" s="84">
        <v>1243.4100000000001</v>
      </c>
      <c r="H469" s="85">
        <v>0</v>
      </c>
      <c r="I469" s="86">
        <f t="shared" si="14"/>
        <v>4973.6400000000003</v>
      </c>
      <c r="J469" s="86">
        <v>3382.08</v>
      </c>
      <c r="K469" s="86">
        <f t="shared" si="15"/>
        <v>1591.5600000000004</v>
      </c>
      <c r="L469" s="87" t="s">
        <v>59</v>
      </c>
      <c r="M469" s="87" t="s">
        <v>60</v>
      </c>
      <c r="N469" s="88" t="s">
        <v>78</v>
      </c>
    </row>
    <row r="470" spans="1:14">
      <c r="A470" s="81">
        <v>45631</v>
      </c>
      <c r="B470" s="82" t="s">
        <v>538</v>
      </c>
      <c r="C470" s="82" t="s">
        <v>26</v>
      </c>
      <c r="D470" s="82" t="s">
        <v>32</v>
      </c>
      <c r="E470" s="82" t="s">
        <v>46</v>
      </c>
      <c r="F470" s="83">
        <v>15</v>
      </c>
      <c r="G470" s="84">
        <v>95.4</v>
      </c>
      <c r="H470" s="85">
        <v>0.08</v>
      </c>
      <c r="I470" s="86">
        <f t="shared" si="14"/>
        <v>1316.52</v>
      </c>
      <c r="J470" s="86">
        <v>686.88</v>
      </c>
      <c r="K470" s="86">
        <f t="shared" si="15"/>
        <v>629.64</v>
      </c>
      <c r="L470" s="87" t="s">
        <v>59</v>
      </c>
      <c r="M470" s="87" t="s">
        <v>68</v>
      </c>
      <c r="N470" s="88" t="s">
        <v>78</v>
      </c>
    </row>
    <row r="471" spans="1:14">
      <c r="A471" s="81">
        <v>45633</v>
      </c>
      <c r="B471" s="82" t="s">
        <v>539</v>
      </c>
      <c r="C471" s="82" t="s">
        <v>36</v>
      </c>
      <c r="D471" s="82" t="s">
        <v>32</v>
      </c>
      <c r="E471" s="82" t="s">
        <v>39</v>
      </c>
      <c r="F471" s="83">
        <v>3</v>
      </c>
      <c r="G471" s="84">
        <v>431.26</v>
      </c>
      <c r="H471" s="85">
        <v>0.08</v>
      </c>
      <c r="I471" s="86">
        <f t="shared" si="14"/>
        <v>1190.2776000000001</v>
      </c>
      <c r="J471" s="86">
        <v>737.45</v>
      </c>
      <c r="K471" s="86">
        <f t="shared" si="15"/>
        <v>452.82760000000007</v>
      </c>
      <c r="L471" s="87" t="s">
        <v>63</v>
      </c>
      <c r="M471" s="87" t="s">
        <v>60</v>
      </c>
      <c r="N471" s="88" t="s">
        <v>65</v>
      </c>
    </row>
    <row r="472" spans="1:14">
      <c r="A472" s="81">
        <v>45633</v>
      </c>
      <c r="B472" s="82" t="s">
        <v>540</v>
      </c>
      <c r="C472" s="82" t="s">
        <v>36</v>
      </c>
      <c r="D472" s="82" t="s">
        <v>37</v>
      </c>
      <c r="E472" s="82" t="s">
        <v>48</v>
      </c>
      <c r="F472" s="83">
        <v>6</v>
      </c>
      <c r="G472" s="84">
        <v>67.06</v>
      </c>
      <c r="H472" s="85">
        <v>0.05</v>
      </c>
      <c r="I472" s="86">
        <f t="shared" si="14"/>
        <v>382.24200000000002</v>
      </c>
      <c r="J472" s="86">
        <v>168.99</v>
      </c>
      <c r="K472" s="86">
        <f t="shared" si="15"/>
        <v>213.25200000000001</v>
      </c>
      <c r="L472" s="87" t="s">
        <v>67</v>
      </c>
      <c r="M472" s="87" t="s">
        <v>68</v>
      </c>
      <c r="N472" s="88" t="s">
        <v>61</v>
      </c>
    </row>
    <row r="473" spans="1:14">
      <c r="A473" s="81">
        <v>45634</v>
      </c>
      <c r="B473" s="82" t="s">
        <v>541</v>
      </c>
      <c r="C473" s="82" t="s">
        <v>40</v>
      </c>
      <c r="D473" s="82" t="s">
        <v>27</v>
      </c>
      <c r="E473" s="82" t="s">
        <v>30</v>
      </c>
      <c r="F473" s="83">
        <v>10</v>
      </c>
      <c r="G473" s="84">
        <v>626.27</v>
      </c>
      <c r="H473" s="85">
        <v>0.05</v>
      </c>
      <c r="I473" s="86">
        <f t="shared" si="14"/>
        <v>5949.5649999999996</v>
      </c>
      <c r="J473" s="86">
        <v>4008.13</v>
      </c>
      <c r="K473" s="86">
        <f t="shared" si="15"/>
        <v>1941.4349999999995</v>
      </c>
      <c r="L473" s="87" t="s">
        <v>67</v>
      </c>
      <c r="M473" s="87" t="s">
        <v>60</v>
      </c>
      <c r="N473" s="88" t="s">
        <v>74</v>
      </c>
    </row>
    <row r="474" spans="1:14">
      <c r="A474" s="81">
        <v>45635</v>
      </c>
      <c r="B474" s="82" t="s">
        <v>542</v>
      </c>
      <c r="C474" s="82" t="s">
        <v>40</v>
      </c>
      <c r="D474" s="82" t="s">
        <v>32</v>
      </c>
      <c r="E474" s="82" t="s">
        <v>39</v>
      </c>
      <c r="F474" s="83">
        <v>8</v>
      </c>
      <c r="G474" s="84">
        <v>427.77</v>
      </c>
      <c r="H474" s="85">
        <v>0.08</v>
      </c>
      <c r="I474" s="86">
        <f t="shared" si="14"/>
        <v>3148.3872000000001</v>
      </c>
      <c r="J474" s="86">
        <v>1950.63</v>
      </c>
      <c r="K474" s="86">
        <f t="shared" si="15"/>
        <v>1197.7572</v>
      </c>
      <c r="L474" s="87" t="s">
        <v>67</v>
      </c>
      <c r="M474" s="87" t="s">
        <v>68</v>
      </c>
      <c r="N474" s="88" t="s">
        <v>65</v>
      </c>
    </row>
    <row r="475" spans="1:14">
      <c r="A475" s="81">
        <v>45635</v>
      </c>
      <c r="B475" s="82" t="s">
        <v>543</v>
      </c>
      <c r="C475" s="82" t="s">
        <v>36</v>
      </c>
      <c r="D475" s="82" t="s">
        <v>32</v>
      </c>
      <c r="E475" s="82" t="s">
        <v>39</v>
      </c>
      <c r="F475" s="83">
        <v>4</v>
      </c>
      <c r="G475" s="84">
        <v>439.47</v>
      </c>
      <c r="H475" s="85">
        <v>0.12</v>
      </c>
      <c r="I475" s="86">
        <f t="shared" si="14"/>
        <v>1546.9344000000001</v>
      </c>
      <c r="J475" s="86">
        <v>1001.99</v>
      </c>
      <c r="K475" s="86">
        <f t="shared" si="15"/>
        <v>544.94440000000009</v>
      </c>
      <c r="L475" s="87" t="s">
        <v>63</v>
      </c>
      <c r="M475" s="87" t="s">
        <v>68</v>
      </c>
      <c r="N475" s="88" t="s">
        <v>71</v>
      </c>
    </row>
    <row r="476" spans="1:14">
      <c r="A476" s="81">
        <v>45636</v>
      </c>
      <c r="B476" s="82" t="s">
        <v>544</v>
      </c>
      <c r="C476" s="82" t="s">
        <v>31</v>
      </c>
      <c r="D476" s="82" t="s">
        <v>27</v>
      </c>
      <c r="E476" s="82" t="s">
        <v>25</v>
      </c>
      <c r="F476" s="83">
        <v>10</v>
      </c>
      <c r="G476" s="84">
        <v>1188.4000000000001</v>
      </c>
      <c r="H476" s="85">
        <v>0.1</v>
      </c>
      <c r="I476" s="86">
        <f t="shared" si="14"/>
        <v>10695.6</v>
      </c>
      <c r="J476" s="86">
        <v>8081.12</v>
      </c>
      <c r="K476" s="86">
        <f t="shared" si="15"/>
        <v>2614.4800000000005</v>
      </c>
      <c r="L476" s="87" t="s">
        <v>67</v>
      </c>
      <c r="M476" s="87" t="s">
        <v>60</v>
      </c>
      <c r="N476" s="88" t="s">
        <v>65</v>
      </c>
    </row>
    <row r="477" spans="1:14">
      <c r="A477" s="81">
        <v>45637</v>
      </c>
      <c r="B477" s="82" t="s">
        <v>545</v>
      </c>
      <c r="C477" s="82" t="s">
        <v>31</v>
      </c>
      <c r="D477" s="82" t="s">
        <v>27</v>
      </c>
      <c r="E477" s="82" t="s">
        <v>35</v>
      </c>
      <c r="F477" s="83">
        <v>4</v>
      </c>
      <c r="G477" s="84">
        <v>364.62</v>
      </c>
      <c r="H477" s="85">
        <v>0.12</v>
      </c>
      <c r="I477" s="86">
        <f t="shared" si="14"/>
        <v>1283.4624000000001</v>
      </c>
      <c r="J477" s="86">
        <v>875.09</v>
      </c>
      <c r="K477" s="86">
        <f t="shared" si="15"/>
        <v>408.37240000000008</v>
      </c>
      <c r="L477" s="87" t="s">
        <v>67</v>
      </c>
      <c r="M477" s="87" t="s">
        <v>68</v>
      </c>
      <c r="N477" s="88" t="s">
        <v>71</v>
      </c>
    </row>
    <row r="478" spans="1:14">
      <c r="A478" s="81">
        <v>45638</v>
      </c>
      <c r="B478" s="82" t="s">
        <v>546</v>
      </c>
      <c r="C478" s="82" t="s">
        <v>26</v>
      </c>
      <c r="D478" s="82" t="s">
        <v>27</v>
      </c>
      <c r="E478" s="82" t="s">
        <v>25</v>
      </c>
      <c r="F478" s="83">
        <v>2</v>
      </c>
      <c r="G478" s="84">
        <v>1189.01</v>
      </c>
      <c r="H478" s="85">
        <v>0</v>
      </c>
      <c r="I478" s="86">
        <f t="shared" si="14"/>
        <v>2378.02</v>
      </c>
      <c r="J478" s="86">
        <v>1617.05</v>
      </c>
      <c r="K478" s="86">
        <f t="shared" si="15"/>
        <v>760.97</v>
      </c>
      <c r="L478" s="87" t="s">
        <v>67</v>
      </c>
      <c r="M478" s="87" t="s">
        <v>60</v>
      </c>
      <c r="N478" s="88" t="s">
        <v>71</v>
      </c>
    </row>
    <row r="479" spans="1:14">
      <c r="A479" s="81">
        <v>45638</v>
      </c>
      <c r="B479" s="82" t="s">
        <v>547</v>
      </c>
      <c r="C479" s="82" t="s">
        <v>31</v>
      </c>
      <c r="D479" s="82" t="s">
        <v>27</v>
      </c>
      <c r="E479" s="82" t="s">
        <v>35</v>
      </c>
      <c r="F479" s="83">
        <v>14</v>
      </c>
      <c r="G479" s="84">
        <v>374.48</v>
      </c>
      <c r="H479" s="85">
        <v>0.12</v>
      </c>
      <c r="I479" s="86">
        <f t="shared" si="14"/>
        <v>4613.5936000000002</v>
      </c>
      <c r="J479" s="86">
        <v>3145.63</v>
      </c>
      <c r="K479" s="86">
        <f t="shared" si="15"/>
        <v>1467.9636</v>
      </c>
      <c r="L479" s="87" t="s">
        <v>59</v>
      </c>
      <c r="M479" s="87" t="s">
        <v>68</v>
      </c>
      <c r="N479" s="88" t="s">
        <v>61</v>
      </c>
    </row>
    <row r="480" spans="1:14">
      <c r="A480" s="81">
        <v>45640</v>
      </c>
      <c r="B480" s="82" t="s">
        <v>548</v>
      </c>
      <c r="C480" s="82" t="s">
        <v>40</v>
      </c>
      <c r="D480" s="82" t="s">
        <v>37</v>
      </c>
      <c r="E480" s="82" t="s">
        <v>47</v>
      </c>
      <c r="F480" s="83">
        <v>13</v>
      </c>
      <c r="G480" s="84">
        <v>126.74</v>
      </c>
      <c r="H480" s="85">
        <v>0.03</v>
      </c>
      <c r="I480" s="86">
        <f t="shared" si="14"/>
        <v>1598.1913999999999</v>
      </c>
      <c r="J480" s="86">
        <v>757.91</v>
      </c>
      <c r="K480" s="86">
        <f t="shared" si="15"/>
        <v>840.28139999999996</v>
      </c>
      <c r="L480" s="87" t="s">
        <v>63</v>
      </c>
      <c r="M480" s="87" t="s">
        <v>68</v>
      </c>
      <c r="N480" s="88" t="s">
        <v>65</v>
      </c>
    </row>
    <row r="481" spans="1:14">
      <c r="A481" s="81">
        <v>45640</v>
      </c>
      <c r="B481" s="82" t="s">
        <v>549</v>
      </c>
      <c r="C481" s="82" t="s">
        <v>31</v>
      </c>
      <c r="D481" s="82" t="s">
        <v>27</v>
      </c>
      <c r="E481" s="82" t="s">
        <v>25</v>
      </c>
      <c r="F481" s="83">
        <v>1</v>
      </c>
      <c r="G481" s="84">
        <v>1181.18</v>
      </c>
      <c r="H481" s="85">
        <v>0.08</v>
      </c>
      <c r="I481" s="86">
        <f t="shared" si="14"/>
        <v>1086.6856</v>
      </c>
      <c r="J481" s="86">
        <v>803.2</v>
      </c>
      <c r="K481" s="86">
        <f t="shared" si="15"/>
        <v>283.48559999999998</v>
      </c>
      <c r="L481" s="87" t="s">
        <v>67</v>
      </c>
      <c r="M481" s="87" t="s">
        <v>64</v>
      </c>
      <c r="N481" s="88" t="s">
        <v>65</v>
      </c>
    </row>
    <row r="482" spans="1:14">
      <c r="A482" s="81">
        <v>45641</v>
      </c>
      <c r="B482" s="82" t="s">
        <v>550</v>
      </c>
      <c r="C482" s="82" t="s">
        <v>36</v>
      </c>
      <c r="D482" s="82" t="s">
        <v>37</v>
      </c>
      <c r="E482" s="82" t="s">
        <v>48</v>
      </c>
      <c r="F482" s="83">
        <v>9</v>
      </c>
      <c r="G482" s="84">
        <v>69.069999999999993</v>
      </c>
      <c r="H482" s="85">
        <v>0.08</v>
      </c>
      <c r="I482" s="86">
        <f t="shared" si="14"/>
        <v>571.89959999999996</v>
      </c>
      <c r="J482" s="86">
        <v>261.08</v>
      </c>
      <c r="K482" s="86">
        <f t="shared" si="15"/>
        <v>310.81959999999998</v>
      </c>
      <c r="L482" s="87" t="s">
        <v>63</v>
      </c>
      <c r="M482" s="87" t="s">
        <v>60</v>
      </c>
      <c r="N482" s="88" t="s">
        <v>61</v>
      </c>
    </row>
    <row r="483" spans="1:14">
      <c r="A483" s="81">
        <v>45642</v>
      </c>
      <c r="B483" s="82" t="s">
        <v>551</v>
      </c>
      <c r="C483" s="82" t="s">
        <v>31</v>
      </c>
      <c r="D483" s="82" t="s">
        <v>32</v>
      </c>
      <c r="E483" s="82" t="s">
        <v>42</v>
      </c>
      <c r="F483" s="83">
        <v>2</v>
      </c>
      <c r="G483" s="84">
        <v>738.13</v>
      </c>
      <c r="H483" s="85">
        <v>0.05</v>
      </c>
      <c r="I483" s="86">
        <f t="shared" si="14"/>
        <v>1402.4469999999999</v>
      </c>
      <c r="J483" s="86">
        <v>900.52</v>
      </c>
      <c r="K483" s="86">
        <f t="shared" si="15"/>
        <v>501.92699999999991</v>
      </c>
      <c r="L483" s="87" t="s">
        <v>67</v>
      </c>
      <c r="M483" s="87" t="s">
        <v>64</v>
      </c>
      <c r="N483" s="88" t="s">
        <v>74</v>
      </c>
    </row>
    <row r="484" spans="1:14">
      <c r="A484" s="81">
        <v>45643</v>
      </c>
      <c r="B484" s="82" t="s">
        <v>552</v>
      </c>
      <c r="C484" s="82" t="s">
        <v>31</v>
      </c>
      <c r="D484" s="82" t="s">
        <v>27</v>
      </c>
      <c r="E484" s="82" t="s">
        <v>25</v>
      </c>
      <c r="F484" s="83">
        <v>2</v>
      </c>
      <c r="G484" s="84">
        <v>1180.53</v>
      </c>
      <c r="H484" s="85">
        <v>0.03</v>
      </c>
      <c r="I484" s="86">
        <f t="shared" si="14"/>
        <v>2290.2282</v>
      </c>
      <c r="J484" s="86">
        <v>1605.52</v>
      </c>
      <c r="K484" s="86">
        <f t="shared" si="15"/>
        <v>684.70820000000003</v>
      </c>
      <c r="L484" s="87" t="s">
        <v>59</v>
      </c>
      <c r="M484" s="87" t="s">
        <v>60</v>
      </c>
      <c r="N484" s="88" t="s">
        <v>74</v>
      </c>
    </row>
    <row r="485" spans="1:14">
      <c r="A485" s="81">
        <v>45643</v>
      </c>
      <c r="B485" s="82" t="s">
        <v>553</v>
      </c>
      <c r="C485" s="82" t="s">
        <v>36</v>
      </c>
      <c r="D485" s="82" t="s">
        <v>32</v>
      </c>
      <c r="E485" s="82" t="s">
        <v>39</v>
      </c>
      <c r="F485" s="83">
        <v>9</v>
      </c>
      <c r="G485" s="84">
        <v>453.23</v>
      </c>
      <c r="H485" s="85">
        <v>0.12</v>
      </c>
      <c r="I485" s="86">
        <f t="shared" si="14"/>
        <v>3589.5816</v>
      </c>
      <c r="J485" s="86">
        <v>2325.0700000000002</v>
      </c>
      <c r="K485" s="86">
        <f t="shared" si="15"/>
        <v>1264.5115999999998</v>
      </c>
      <c r="L485" s="87" t="s">
        <v>63</v>
      </c>
      <c r="M485" s="87" t="s">
        <v>64</v>
      </c>
      <c r="N485" s="88" t="s">
        <v>61</v>
      </c>
    </row>
    <row r="486" spans="1:14">
      <c r="A486" s="81">
        <v>45644</v>
      </c>
      <c r="B486" s="82" t="s">
        <v>554</v>
      </c>
      <c r="C486" s="82" t="s">
        <v>40</v>
      </c>
      <c r="D486" s="82" t="s">
        <v>32</v>
      </c>
      <c r="E486" s="82" t="s">
        <v>39</v>
      </c>
      <c r="F486" s="83">
        <v>10</v>
      </c>
      <c r="G486" s="84">
        <v>414.41</v>
      </c>
      <c r="H486" s="85">
        <v>0.12</v>
      </c>
      <c r="I486" s="86">
        <f t="shared" si="14"/>
        <v>3646.8080000000004</v>
      </c>
      <c r="J486" s="86">
        <v>2362.14</v>
      </c>
      <c r="K486" s="86">
        <f t="shared" si="15"/>
        <v>1284.6680000000006</v>
      </c>
      <c r="L486" s="87" t="s">
        <v>59</v>
      </c>
      <c r="M486" s="87" t="s">
        <v>64</v>
      </c>
      <c r="N486" s="88" t="s">
        <v>65</v>
      </c>
    </row>
    <row r="487" spans="1:14">
      <c r="A487" s="81">
        <v>45644</v>
      </c>
      <c r="B487" s="82" t="s">
        <v>555</v>
      </c>
      <c r="C487" s="82" t="s">
        <v>36</v>
      </c>
      <c r="D487" s="82" t="s">
        <v>27</v>
      </c>
      <c r="E487" s="82" t="s">
        <v>35</v>
      </c>
      <c r="F487" s="83">
        <v>4</v>
      </c>
      <c r="G487" s="84">
        <v>358.35</v>
      </c>
      <c r="H487" s="85">
        <v>0.08</v>
      </c>
      <c r="I487" s="86">
        <f t="shared" si="14"/>
        <v>1318.7280000000001</v>
      </c>
      <c r="J487" s="86">
        <v>860.04</v>
      </c>
      <c r="K487" s="86">
        <f t="shared" si="15"/>
        <v>458.6880000000001</v>
      </c>
      <c r="L487" s="87" t="s">
        <v>67</v>
      </c>
      <c r="M487" s="87" t="s">
        <v>64</v>
      </c>
      <c r="N487" s="88" t="s">
        <v>61</v>
      </c>
    </row>
    <row r="488" spans="1:14">
      <c r="A488" s="81">
        <v>45644</v>
      </c>
      <c r="B488" s="82" t="s">
        <v>556</v>
      </c>
      <c r="C488" s="82" t="s">
        <v>40</v>
      </c>
      <c r="D488" s="82" t="s">
        <v>37</v>
      </c>
      <c r="E488" s="82" t="s">
        <v>47</v>
      </c>
      <c r="F488" s="83">
        <v>10</v>
      </c>
      <c r="G488" s="84">
        <v>124.51</v>
      </c>
      <c r="H488" s="85">
        <v>0.12</v>
      </c>
      <c r="I488" s="86">
        <f t="shared" si="14"/>
        <v>1095.6880000000001</v>
      </c>
      <c r="J488" s="86">
        <v>572.75</v>
      </c>
      <c r="K488" s="86">
        <f t="shared" si="15"/>
        <v>522.9380000000001</v>
      </c>
      <c r="L488" s="87" t="s">
        <v>59</v>
      </c>
      <c r="M488" s="87" t="s">
        <v>64</v>
      </c>
      <c r="N488" s="88" t="s">
        <v>61</v>
      </c>
    </row>
    <row r="489" spans="1:14">
      <c r="A489" s="81">
        <v>45644</v>
      </c>
      <c r="B489" s="82" t="s">
        <v>557</v>
      </c>
      <c r="C489" s="82" t="s">
        <v>36</v>
      </c>
      <c r="D489" s="82" t="s">
        <v>27</v>
      </c>
      <c r="E489" s="82" t="s">
        <v>25</v>
      </c>
      <c r="F489" s="83">
        <v>13</v>
      </c>
      <c r="G489" s="84">
        <v>1143.07</v>
      </c>
      <c r="H489" s="85">
        <v>0.03</v>
      </c>
      <c r="I489" s="86">
        <f t="shared" si="14"/>
        <v>14414.1127</v>
      </c>
      <c r="J489" s="86">
        <v>10104.74</v>
      </c>
      <c r="K489" s="86">
        <f t="shared" si="15"/>
        <v>4309.3726999999999</v>
      </c>
      <c r="L489" s="87" t="s">
        <v>67</v>
      </c>
      <c r="M489" s="87" t="s">
        <v>68</v>
      </c>
      <c r="N489" s="88" t="s">
        <v>71</v>
      </c>
    </row>
    <row r="490" spans="1:14">
      <c r="A490" s="81">
        <v>45645</v>
      </c>
      <c r="B490" s="82" t="s">
        <v>558</v>
      </c>
      <c r="C490" s="82" t="s">
        <v>36</v>
      </c>
      <c r="D490" s="82" t="s">
        <v>32</v>
      </c>
      <c r="E490" s="82" t="s">
        <v>42</v>
      </c>
      <c r="F490" s="83">
        <v>13</v>
      </c>
      <c r="G490" s="84">
        <v>733.39</v>
      </c>
      <c r="H490" s="85">
        <v>0.03</v>
      </c>
      <c r="I490" s="86">
        <f t="shared" si="14"/>
        <v>9248.0478999999996</v>
      </c>
      <c r="J490" s="86">
        <v>5815.78</v>
      </c>
      <c r="K490" s="86">
        <f t="shared" si="15"/>
        <v>3432.2678999999998</v>
      </c>
      <c r="L490" s="87" t="s">
        <v>59</v>
      </c>
      <c r="M490" s="87" t="s">
        <v>68</v>
      </c>
      <c r="N490" s="88" t="s">
        <v>69</v>
      </c>
    </row>
    <row r="491" spans="1:14">
      <c r="A491" s="81">
        <v>45647</v>
      </c>
      <c r="B491" s="82" t="s">
        <v>559</v>
      </c>
      <c r="C491" s="82" t="s">
        <v>36</v>
      </c>
      <c r="D491" s="82" t="s">
        <v>27</v>
      </c>
      <c r="E491" s="82" t="s">
        <v>30</v>
      </c>
      <c r="F491" s="83">
        <v>3</v>
      </c>
      <c r="G491" s="84">
        <v>612.45000000000005</v>
      </c>
      <c r="H491" s="85">
        <v>0.05</v>
      </c>
      <c r="I491" s="86">
        <f t="shared" si="14"/>
        <v>1745.4825000000001</v>
      </c>
      <c r="J491" s="86">
        <v>1175.9000000000001</v>
      </c>
      <c r="K491" s="86">
        <f t="shared" si="15"/>
        <v>569.58249999999998</v>
      </c>
      <c r="L491" s="87" t="s">
        <v>63</v>
      </c>
      <c r="M491" s="87" t="s">
        <v>68</v>
      </c>
      <c r="N491" s="88" t="s">
        <v>65</v>
      </c>
    </row>
    <row r="492" spans="1:14">
      <c r="A492" s="81">
        <v>45648</v>
      </c>
      <c r="B492" s="82" t="s">
        <v>560</v>
      </c>
      <c r="C492" s="82" t="s">
        <v>40</v>
      </c>
      <c r="D492" s="82" t="s">
        <v>37</v>
      </c>
      <c r="E492" s="82" t="s">
        <v>47</v>
      </c>
      <c r="F492" s="83">
        <v>16</v>
      </c>
      <c r="G492" s="84">
        <v>125.86</v>
      </c>
      <c r="H492" s="85">
        <v>0.05</v>
      </c>
      <c r="I492" s="86">
        <f t="shared" si="14"/>
        <v>1913.0719999999999</v>
      </c>
      <c r="J492" s="86">
        <v>926.33</v>
      </c>
      <c r="K492" s="86">
        <f t="shared" si="15"/>
        <v>986.74199999999985</v>
      </c>
      <c r="L492" s="87" t="s">
        <v>59</v>
      </c>
      <c r="M492" s="87" t="s">
        <v>68</v>
      </c>
      <c r="N492" s="88" t="s">
        <v>61</v>
      </c>
    </row>
    <row r="493" spans="1:14">
      <c r="A493" s="81">
        <v>45648</v>
      </c>
      <c r="B493" s="82" t="s">
        <v>561</v>
      </c>
      <c r="C493" s="82" t="s">
        <v>40</v>
      </c>
      <c r="D493" s="82" t="s">
        <v>27</v>
      </c>
      <c r="E493" s="82" t="s">
        <v>30</v>
      </c>
      <c r="F493" s="83">
        <v>7</v>
      </c>
      <c r="G493" s="84">
        <v>601.19000000000005</v>
      </c>
      <c r="H493" s="85">
        <v>0.08</v>
      </c>
      <c r="I493" s="86">
        <f t="shared" si="14"/>
        <v>3871.6636000000003</v>
      </c>
      <c r="J493" s="86">
        <v>2693.33</v>
      </c>
      <c r="K493" s="86">
        <f t="shared" si="15"/>
        <v>1178.3336000000004</v>
      </c>
      <c r="L493" s="87" t="s">
        <v>67</v>
      </c>
      <c r="M493" s="87" t="s">
        <v>64</v>
      </c>
      <c r="N493" s="88" t="s">
        <v>61</v>
      </c>
    </row>
    <row r="494" spans="1:14">
      <c r="A494" s="81">
        <v>45649</v>
      </c>
      <c r="B494" s="82" t="s">
        <v>562</v>
      </c>
      <c r="C494" s="82" t="s">
        <v>26</v>
      </c>
      <c r="D494" s="82" t="s">
        <v>37</v>
      </c>
      <c r="E494" s="82" t="s">
        <v>47</v>
      </c>
      <c r="F494" s="83">
        <v>5</v>
      </c>
      <c r="G494" s="84">
        <v>124.12</v>
      </c>
      <c r="H494" s="85">
        <v>0.05</v>
      </c>
      <c r="I494" s="86">
        <f t="shared" si="14"/>
        <v>589.57000000000005</v>
      </c>
      <c r="J494" s="86">
        <v>285.48</v>
      </c>
      <c r="K494" s="86">
        <f t="shared" si="15"/>
        <v>304.09000000000003</v>
      </c>
      <c r="L494" s="87" t="s">
        <v>59</v>
      </c>
      <c r="M494" s="87" t="s">
        <v>60</v>
      </c>
      <c r="N494" s="88" t="s">
        <v>65</v>
      </c>
    </row>
    <row r="495" spans="1:14">
      <c r="A495" s="81">
        <v>45649</v>
      </c>
      <c r="B495" s="82" t="s">
        <v>563</v>
      </c>
      <c r="C495" s="82" t="s">
        <v>31</v>
      </c>
      <c r="D495" s="82" t="s">
        <v>37</v>
      </c>
      <c r="E495" s="82" t="s">
        <v>47</v>
      </c>
      <c r="F495" s="83">
        <v>9</v>
      </c>
      <c r="G495" s="84">
        <v>123.08</v>
      </c>
      <c r="H495" s="85">
        <v>0.1</v>
      </c>
      <c r="I495" s="86">
        <f t="shared" si="14"/>
        <v>996.94800000000009</v>
      </c>
      <c r="J495" s="86">
        <v>509.55</v>
      </c>
      <c r="K495" s="86">
        <f t="shared" si="15"/>
        <v>487.39800000000008</v>
      </c>
      <c r="L495" s="87" t="s">
        <v>63</v>
      </c>
      <c r="M495" s="87" t="s">
        <v>60</v>
      </c>
      <c r="N495" s="88" t="s">
        <v>65</v>
      </c>
    </row>
    <row r="496" spans="1:14">
      <c r="A496" s="81">
        <v>45650</v>
      </c>
      <c r="B496" s="82" t="s">
        <v>564</v>
      </c>
      <c r="C496" s="82" t="s">
        <v>36</v>
      </c>
      <c r="D496" s="82" t="s">
        <v>37</v>
      </c>
      <c r="E496" s="82" t="s">
        <v>47</v>
      </c>
      <c r="F496" s="83">
        <v>3</v>
      </c>
      <c r="G496" s="84">
        <v>121.04</v>
      </c>
      <c r="H496" s="85">
        <v>0</v>
      </c>
      <c r="I496" s="86">
        <f t="shared" si="14"/>
        <v>363.12</v>
      </c>
      <c r="J496" s="86">
        <v>167.04</v>
      </c>
      <c r="K496" s="86">
        <f t="shared" si="15"/>
        <v>196.08</v>
      </c>
      <c r="L496" s="87" t="s">
        <v>63</v>
      </c>
      <c r="M496" s="87" t="s">
        <v>64</v>
      </c>
      <c r="N496" s="88" t="s">
        <v>74</v>
      </c>
    </row>
    <row r="497" spans="1:14">
      <c r="A497" s="81">
        <v>45651</v>
      </c>
      <c r="B497" s="82" t="s">
        <v>565</v>
      </c>
      <c r="C497" s="82" t="s">
        <v>31</v>
      </c>
      <c r="D497" s="82" t="s">
        <v>27</v>
      </c>
      <c r="E497" s="82" t="s">
        <v>35</v>
      </c>
      <c r="F497" s="83">
        <v>12</v>
      </c>
      <c r="G497" s="84">
        <v>354.15</v>
      </c>
      <c r="H497" s="85">
        <v>0.1</v>
      </c>
      <c r="I497" s="86">
        <f t="shared" si="14"/>
        <v>3824.8199999999993</v>
      </c>
      <c r="J497" s="86">
        <v>2549.88</v>
      </c>
      <c r="K497" s="86">
        <f t="shared" si="15"/>
        <v>1274.9399999999991</v>
      </c>
      <c r="L497" s="87" t="s">
        <v>59</v>
      </c>
      <c r="M497" s="87" t="s">
        <v>68</v>
      </c>
      <c r="N497" s="88" t="s">
        <v>61</v>
      </c>
    </row>
    <row r="498" spans="1:14">
      <c r="A498" s="81">
        <v>45652</v>
      </c>
      <c r="B498" s="82" t="s">
        <v>566</v>
      </c>
      <c r="C498" s="82" t="s">
        <v>40</v>
      </c>
      <c r="D498" s="82" t="s">
        <v>27</v>
      </c>
      <c r="E498" s="82" t="s">
        <v>30</v>
      </c>
      <c r="F498" s="83">
        <v>5</v>
      </c>
      <c r="G498" s="84">
        <v>649.09</v>
      </c>
      <c r="H498" s="85">
        <v>0.1</v>
      </c>
      <c r="I498" s="86">
        <f t="shared" si="14"/>
        <v>2920.9050000000002</v>
      </c>
      <c r="J498" s="86">
        <v>2077.09</v>
      </c>
      <c r="K498" s="86">
        <f t="shared" si="15"/>
        <v>843.81500000000005</v>
      </c>
      <c r="L498" s="87" t="s">
        <v>63</v>
      </c>
      <c r="M498" s="87" t="s">
        <v>64</v>
      </c>
      <c r="N498" s="88" t="s">
        <v>71</v>
      </c>
    </row>
    <row r="499" spans="1:14">
      <c r="A499" s="81">
        <v>45654</v>
      </c>
      <c r="B499" s="82" t="s">
        <v>567</v>
      </c>
      <c r="C499" s="82" t="s">
        <v>40</v>
      </c>
      <c r="D499" s="82" t="s">
        <v>32</v>
      </c>
      <c r="E499" s="82" t="s">
        <v>42</v>
      </c>
      <c r="F499" s="83">
        <v>2</v>
      </c>
      <c r="G499" s="84">
        <v>743.42</v>
      </c>
      <c r="H499" s="85">
        <v>0.05</v>
      </c>
      <c r="I499" s="86">
        <f t="shared" si="14"/>
        <v>1412.4979999999998</v>
      </c>
      <c r="J499" s="86">
        <v>906.97</v>
      </c>
      <c r="K499" s="86">
        <f t="shared" si="15"/>
        <v>505.52799999999979</v>
      </c>
      <c r="L499" s="87" t="s">
        <v>59</v>
      </c>
      <c r="M499" s="87" t="s">
        <v>60</v>
      </c>
      <c r="N499" s="88" t="s">
        <v>78</v>
      </c>
    </row>
    <row r="500" spans="1:14">
      <c r="A500" s="81">
        <v>45655</v>
      </c>
      <c r="B500" s="82" t="s">
        <v>568</v>
      </c>
      <c r="C500" s="82" t="s">
        <v>26</v>
      </c>
      <c r="D500" s="82" t="s">
        <v>37</v>
      </c>
      <c r="E500" s="82" t="s">
        <v>48</v>
      </c>
      <c r="F500" s="83">
        <v>5</v>
      </c>
      <c r="G500" s="84">
        <v>67.900000000000006</v>
      </c>
      <c r="H500" s="85">
        <v>0</v>
      </c>
      <c r="I500" s="86">
        <f t="shared" si="14"/>
        <v>339.5</v>
      </c>
      <c r="J500" s="86">
        <v>142.59</v>
      </c>
      <c r="K500" s="86">
        <f t="shared" si="15"/>
        <v>196.91</v>
      </c>
      <c r="L500" s="87" t="s">
        <v>63</v>
      </c>
      <c r="M500" s="87" t="s">
        <v>64</v>
      </c>
      <c r="N500" s="88" t="s">
        <v>65</v>
      </c>
    </row>
    <row r="501" spans="1:14">
      <c r="A501" s="81">
        <v>45656</v>
      </c>
      <c r="B501" s="82" t="s">
        <v>569</v>
      </c>
      <c r="C501" s="82" t="s">
        <v>40</v>
      </c>
      <c r="D501" s="82" t="s">
        <v>27</v>
      </c>
      <c r="E501" s="82" t="s">
        <v>30</v>
      </c>
      <c r="F501" s="83">
        <v>2</v>
      </c>
      <c r="G501" s="84">
        <v>653.09</v>
      </c>
      <c r="H501" s="85">
        <v>0.12</v>
      </c>
      <c r="I501" s="86">
        <f t="shared" si="14"/>
        <v>1149.4384</v>
      </c>
      <c r="J501" s="86">
        <v>835.96</v>
      </c>
      <c r="K501" s="86">
        <f t="shared" si="15"/>
        <v>313.47839999999997</v>
      </c>
      <c r="L501" s="87" t="s">
        <v>59</v>
      </c>
      <c r="M501" s="87" t="s">
        <v>64</v>
      </c>
      <c r="N501" s="88" t="s">
        <v>69</v>
      </c>
    </row>
    <row r="502" spans="1:14">
      <c r="A502" s="81">
        <v>45656</v>
      </c>
      <c r="B502" s="82" t="s">
        <v>570</v>
      </c>
      <c r="C502" s="82" t="s">
        <v>40</v>
      </c>
      <c r="D502" s="82" t="s">
        <v>32</v>
      </c>
      <c r="E502" s="82" t="s">
        <v>42</v>
      </c>
      <c r="F502" s="83">
        <v>8</v>
      </c>
      <c r="G502" s="84">
        <v>733.13</v>
      </c>
      <c r="H502" s="85">
        <v>0.12</v>
      </c>
      <c r="I502" s="86">
        <f t="shared" si="14"/>
        <v>5161.2352000000001</v>
      </c>
      <c r="J502" s="86">
        <v>3577.67</v>
      </c>
      <c r="K502" s="86">
        <f t="shared" si="15"/>
        <v>1583.5652</v>
      </c>
      <c r="L502" s="87" t="s">
        <v>67</v>
      </c>
      <c r="M502" s="87" t="s">
        <v>60</v>
      </c>
      <c r="N502" s="88" t="s">
        <v>78</v>
      </c>
    </row>
    <row r="503" spans="1:14">
      <c r="A503" s="81">
        <v>45656</v>
      </c>
      <c r="B503" s="82" t="s">
        <v>571</v>
      </c>
      <c r="C503" s="82" t="s">
        <v>31</v>
      </c>
      <c r="D503" s="82" t="s">
        <v>32</v>
      </c>
      <c r="E503" s="82" t="s">
        <v>39</v>
      </c>
      <c r="F503" s="83">
        <v>11</v>
      </c>
      <c r="G503" s="84">
        <v>417.88</v>
      </c>
      <c r="H503" s="85">
        <v>0.05</v>
      </c>
      <c r="I503" s="86">
        <f t="shared" si="14"/>
        <v>4366.8460000000005</v>
      </c>
      <c r="J503" s="86">
        <v>2620.11</v>
      </c>
      <c r="K503" s="86">
        <f t="shared" si="15"/>
        <v>1746.7360000000003</v>
      </c>
      <c r="L503" s="87" t="s">
        <v>67</v>
      </c>
      <c r="M503" s="87" t="s">
        <v>68</v>
      </c>
      <c r="N503" s="88" t="s">
        <v>74</v>
      </c>
    </row>
    <row r="504" spans="1:14">
      <c r="A504" s="81">
        <v>45657</v>
      </c>
      <c r="B504" s="82" t="s">
        <v>572</v>
      </c>
      <c r="C504" s="82" t="s">
        <v>26</v>
      </c>
      <c r="D504" s="82" t="s">
        <v>32</v>
      </c>
      <c r="E504" s="82" t="s">
        <v>39</v>
      </c>
      <c r="F504" s="83">
        <v>9</v>
      </c>
      <c r="G504" s="84">
        <v>432.58</v>
      </c>
      <c r="H504" s="85">
        <v>0.03</v>
      </c>
      <c r="I504" s="86">
        <f t="shared" si="14"/>
        <v>3776.4233999999997</v>
      </c>
      <c r="J504" s="86">
        <v>2219.14</v>
      </c>
      <c r="K504" s="86">
        <f t="shared" si="15"/>
        <v>1557.2833999999998</v>
      </c>
      <c r="L504" s="87" t="s">
        <v>59</v>
      </c>
      <c r="M504" s="87" t="s">
        <v>60</v>
      </c>
      <c r="N504" s="88" t="s">
        <v>71</v>
      </c>
    </row>
    <row r="505" spans="1:14">
      <c r="A505" s="81">
        <v>45657</v>
      </c>
      <c r="B505" s="82" t="s">
        <v>573</v>
      </c>
      <c r="C505" s="82" t="s">
        <v>36</v>
      </c>
      <c r="D505" s="82" t="s">
        <v>32</v>
      </c>
      <c r="E505" s="82" t="s">
        <v>39</v>
      </c>
      <c r="F505" s="83">
        <v>5</v>
      </c>
      <c r="G505" s="84">
        <v>434.57</v>
      </c>
      <c r="H505" s="85">
        <v>0.03</v>
      </c>
      <c r="I505" s="86">
        <f t="shared" si="14"/>
        <v>2107.6644999999999</v>
      </c>
      <c r="J505" s="86">
        <v>1238.52</v>
      </c>
      <c r="K505" s="86">
        <f t="shared" si="15"/>
        <v>869.14449999999988</v>
      </c>
      <c r="L505" s="87" t="s">
        <v>63</v>
      </c>
      <c r="M505" s="87" t="s">
        <v>60</v>
      </c>
      <c r="N505" s="88" t="s">
        <v>65</v>
      </c>
    </row>
    <row r="506" spans="1:14">
      <c r="A506" s="81">
        <v>45659</v>
      </c>
      <c r="B506" s="82" t="s">
        <v>574</v>
      </c>
      <c r="C506" s="82" t="s">
        <v>26</v>
      </c>
      <c r="D506" s="82" t="s">
        <v>27</v>
      </c>
      <c r="E506" s="82" t="s">
        <v>30</v>
      </c>
      <c r="F506" s="83">
        <v>5</v>
      </c>
      <c r="G506" s="84">
        <v>711.11</v>
      </c>
      <c r="H506" s="85">
        <v>0.12</v>
      </c>
      <c r="I506" s="86">
        <f t="shared" si="14"/>
        <v>3128.884</v>
      </c>
      <c r="J506" s="86">
        <v>2275.5500000000002</v>
      </c>
      <c r="K506" s="86">
        <f t="shared" si="15"/>
        <v>853.33399999999983</v>
      </c>
      <c r="L506" s="87" t="s">
        <v>59</v>
      </c>
      <c r="M506" s="87" t="s">
        <v>64</v>
      </c>
      <c r="N506" s="88" t="s">
        <v>74</v>
      </c>
    </row>
    <row r="507" spans="1:14">
      <c r="A507" s="81">
        <v>45660</v>
      </c>
      <c r="B507" s="82" t="s">
        <v>575</v>
      </c>
      <c r="C507" s="82" t="s">
        <v>36</v>
      </c>
      <c r="D507" s="82" t="s">
        <v>37</v>
      </c>
      <c r="E507" s="82" t="s">
        <v>48</v>
      </c>
      <c r="F507" s="83">
        <v>10</v>
      </c>
      <c r="G507" s="84">
        <v>72.67</v>
      </c>
      <c r="H507" s="85">
        <v>0.03</v>
      </c>
      <c r="I507" s="86">
        <f t="shared" si="14"/>
        <v>704.899</v>
      </c>
      <c r="J507" s="86">
        <v>305.20999999999998</v>
      </c>
      <c r="K507" s="86">
        <f t="shared" si="15"/>
        <v>399.68900000000002</v>
      </c>
      <c r="L507" s="87" t="s">
        <v>59</v>
      </c>
      <c r="M507" s="87" t="s">
        <v>68</v>
      </c>
      <c r="N507" s="88" t="s">
        <v>78</v>
      </c>
    </row>
    <row r="508" spans="1:14">
      <c r="A508" s="81">
        <v>45664</v>
      </c>
      <c r="B508" s="82" t="s">
        <v>576</v>
      </c>
      <c r="C508" s="82" t="s">
        <v>36</v>
      </c>
      <c r="D508" s="82" t="s">
        <v>27</v>
      </c>
      <c r="E508" s="82" t="s">
        <v>35</v>
      </c>
      <c r="F508" s="83">
        <v>8</v>
      </c>
      <c r="G508" s="84">
        <v>383</v>
      </c>
      <c r="H508" s="85">
        <v>0.1</v>
      </c>
      <c r="I508" s="86">
        <f t="shared" si="14"/>
        <v>2757.6</v>
      </c>
      <c r="J508" s="86">
        <v>1838.4</v>
      </c>
      <c r="K508" s="86">
        <f t="shared" si="15"/>
        <v>919.19999999999982</v>
      </c>
      <c r="L508" s="87" t="s">
        <v>59</v>
      </c>
      <c r="M508" s="87" t="s">
        <v>68</v>
      </c>
      <c r="N508" s="88" t="s">
        <v>69</v>
      </c>
    </row>
    <row r="509" spans="1:14">
      <c r="A509" s="81">
        <v>45665</v>
      </c>
      <c r="B509" s="82" t="s">
        <v>577</v>
      </c>
      <c r="C509" s="82" t="s">
        <v>40</v>
      </c>
      <c r="D509" s="82" t="s">
        <v>37</v>
      </c>
      <c r="E509" s="82" t="s">
        <v>47</v>
      </c>
      <c r="F509" s="83">
        <v>9</v>
      </c>
      <c r="G509" s="84">
        <v>133.16</v>
      </c>
      <c r="H509" s="85">
        <v>0</v>
      </c>
      <c r="I509" s="86">
        <f t="shared" si="14"/>
        <v>1198.44</v>
      </c>
      <c r="J509" s="86">
        <v>551.28</v>
      </c>
      <c r="K509" s="86">
        <f t="shared" si="15"/>
        <v>647.16000000000008</v>
      </c>
      <c r="L509" s="87" t="s">
        <v>63</v>
      </c>
      <c r="M509" s="87" t="s">
        <v>68</v>
      </c>
      <c r="N509" s="88" t="s">
        <v>71</v>
      </c>
    </row>
    <row r="510" spans="1:14">
      <c r="A510" s="81">
        <v>45665</v>
      </c>
      <c r="B510" s="82" t="s">
        <v>578</v>
      </c>
      <c r="C510" s="82" t="s">
        <v>31</v>
      </c>
      <c r="D510" s="82" t="s">
        <v>32</v>
      </c>
      <c r="E510" s="82" t="s">
        <v>42</v>
      </c>
      <c r="F510" s="83">
        <v>4</v>
      </c>
      <c r="G510" s="84">
        <v>872.99</v>
      </c>
      <c r="H510" s="85">
        <v>0.12</v>
      </c>
      <c r="I510" s="86">
        <f t="shared" si="14"/>
        <v>3072.9248000000002</v>
      </c>
      <c r="J510" s="86">
        <v>2130.1</v>
      </c>
      <c r="K510" s="86">
        <f t="shared" si="15"/>
        <v>942.82480000000032</v>
      </c>
      <c r="L510" s="87" t="s">
        <v>59</v>
      </c>
      <c r="M510" s="87" t="s">
        <v>64</v>
      </c>
      <c r="N510" s="88" t="s">
        <v>61</v>
      </c>
    </row>
    <row r="511" spans="1:14">
      <c r="A511" s="81">
        <v>45665</v>
      </c>
      <c r="B511" s="82" t="s">
        <v>579</v>
      </c>
      <c r="C511" s="82" t="s">
        <v>40</v>
      </c>
      <c r="D511" s="82" t="s">
        <v>32</v>
      </c>
      <c r="E511" s="82" t="s">
        <v>42</v>
      </c>
      <c r="F511" s="83">
        <v>7</v>
      </c>
      <c r="G511" s="84">
        <v>826.87</v>
      </c>
      <c r="H511" s="85">
        <v>0.12</v>
      </c>
      <c r="I511" s="86">
        <f t="shared" si="14"/>
        <v>5093.5191999999997</v>
      </c>
      <c r="J511" s="86">
        <v>3530.73</v>
      </c>
      <c r="K511" s="86">
        <f t="shared" si="15"/>
        <v>1562.7891999999997</v>
      </c>
      <c r="L511" s="87" t="s">
        <v>63</v>
      </c>
      <c r="M511" s="87" t="s">
        <v>68</v>
      </c>
      <c r="N511" s="88" t="s">
        <v>78</v>
      </c>
    </row>
    <row r="512" spans="1:14">
      <c r="A512" s="81">
        <v>45666</v>
      </c>
      <c r="B512" s="82" t="s">
        <v>580</v>
      </c>
      <c r="C512" s="82" t="s">
        <v>26</v>
      </c>
      <c r="D512" s="82" t="s">
        <v>37</v>
      </c>
      <c r="E512" s="82" t="s">
        <v>48</v>
      </c>
      <c r="F512" s="83">
        <v>8</v>
      </c>
      <c r="G512" s="84">
        <v>78.09</v>
      </c>
      <c r="H512" s="85">
        <v>0</v>
      </c>
      <c r="I512" s="86">
        <f t="shared" si="14"/>
        <v>624.72</v>
      </c>
      <c r="J512" s="86">
        <v>262.38</v>
      </c>
      <c r="K512" s="86">
        <f t="shared" si="15"/>
        <v>362.34000000000003</v>
      </c>
      <c r="L512" s="87" t="s">
        <v>59</v>
      </c>
      <c r="M512" s="87" t="s">
        <v>68</v>
      </c>
      <c r="N512" s="88" t="s">
        <v>65</v>
      </c>
    </row>
    <row r="513" spans="1:14">
      <c r="A513" s="81">
        <v>45667</v>
      </c>
      <c r="B513" s="82" t="s">
        <v>581</v>
      </c>
      <c r="C513" s="82" t="s">
        <v>31</v>
      </c>
      <c r="D513" s="82" t="s">
        <v>27</v>
      </c>
      <c r="E513" s="82" t="s">
        <v>25</v>
      </c>
      <c r="F513" s="83">
        <v>4</v>
      </c>
      <c r="G513" s="84">
        <v>1335.63</v>
      </c>
      <c r="H513" s="85">
        <v>0.08</v>
      </c>
      <c r="I513" s="86">
        <f t="shared" si="14"/>
        <v>4915.1184000000003</v>
      </c>
      <c r="J513" s="86">
        <v>3632.91</v>
      </c>
      <c r="K513" s="86">
        <f t="shared" si="15"/>
        <v>1282.2084000000004</v>
      </c>
      <c r="L513" s="87" t="s">
        <v>59</v>
      </c>
      <c r="M513" s="87" t="s">
        <v>60</v>
      </c>
      <c r="N513" s="88" t="s">
        <v>78</v>
      </c>
    </row>
    <row r="514" spans="1:14">
      <c r="A514" s="81">
        <v>45669</v>
      </c>
      <c r="B514" s="82" t="s">
        <v>582</v>
      </c>
      <c r="C514" s="82" t="s">
        <v>31</v>
      </c>
      <c r="D514" s="82" t="s">
        <v>37</v>
      </c>
      <c r="E514" s="82" t="s">
        <v>47</v>
      </c>
      <c r="F514" s="83">
        <v>2</v>
      </c>
      <c r="G514" s="84">
        <v>134.88999999999999</v>
      </c>
      <c r="H514" s="85">
        <v>0.03</v>
      </c>
      <c r="I514" s="86">
        <f t="shared" ref="I514:I577" si="16">F514*G514*(1-H514)</f>
        <v>261.68659999999994</v>
      </c>
      <c r="J514" s="86">
        <v>124.1</v>
      </c>
      <c r="K514" s="86">
        <f t="shared" ref="K514:K577" si="17">I514-J514</f>
        <v>137.58659999999995</v>
      </c>
      <c r="L514" s="87" t="s">
        <v>59</v>
      </c>
      <c r="M514" s="87" t="s">
        <v>60</v>
      </c>
      <c r="N514" s="88" t="s">
        <v>65</v>
      </c>
    </row>
    <row r="515" spans="1:14">
      <c r="A515" s="81">
        <v>45669</v>
      </c>
      <c r="B515" s="82" t="s">
        <v>583</v>
      </c>
      <c r="C515" s="82" t="s">
        <v>31</v>
      </c>
      <c r="D515" s="82" t="s">
        <v>37</v>
      </c>
      <c r="E515" s="82" t="s">
        <v>48</v>
      </c>
      <c r="F515" s="83">
        <v>8</v>
      </c>
      <c r="G515" s="84">
        <v>73.53</v>
      </c>
      <c r="H515" s="85">
        <v>0</v>
      </c>
      <c r="I515" s="86">
        <f t="shared" si="16"/>
        <v>588.24</v>
      </c>
      <c r="J515" s="86">
        <v>247.06</v>
      </c>
      <c r="K515" s="86">
        <f t="shared" si="17"/>
        <v>341.18</v>
      </c>
      <c r="L515" s="87" t="s">
        <v>67</v>
      </c>
      <c r="M515" s="87" t="s">
        <v>60</v>
      </c>
      <c r="N515" s="88" t="s">
        <v>65</v>
      </c>
    </row>
    <row r="516" spans="1:14">
      <c r="A516" s="81">
        <v>45670</v>
      </c>
      <c r="B516" s="82" t="s">
        <v>584</v>
      </c>
      <c r="C516" s="82" t="s">
        <v>36</v>
      </c>
      <c r="D516" s="82" t="s">
        <v>27</v>
      </c>
      <c r="E516" s="82" t="s">
        <v>30</v>
      </c>
      <c r="F516" s="83">
        <v>6</v>
      </c>
      <c r="G516" s="84">
        <v>661.71</v>
      </c>
      <c r="H516" s="85">
        <v>0.1</v>
      </c>
      <c r="I516" s="86">
        <f t="shared" si="16"/>
        <v>3573.2340000000004</v>
      </c>
      <c r="J516" s="86">
        <v>2540.9699999999998</v>
      </c>
      <c r="K516" s="86">
        <f t="shared" si="17"/>
        <v>1032.2640000000006</v>
      </c>
      <c r="L516" s="87" t="s">
        <v>59</v>
      </c>
      <c r="M516" s="87" t="s">
        <v>60</v>
      </c>
      <c r="N516" s="88" t="s">
        <v>71</v>
      </c>
    </row>
    <row r="517" spans="1:14">
      <c r="A517" s="81">
        <v>45671</v>
      </c>
      <c r="B517" s="82" t="s">
        <v>585</v>
      </c>
      <c r="C517" s="82" t="s">
        <v>31</v>
      </c>
      <c r="D517" s="82" t="s">
        <v>32</v>
      </c>
      <c r="E517" s="82" t="s">
        <v>46</v>
      </c>
      <c r="F517" s="83">
        <v>4</v>
      </c>
      <c r="G517" s="84">
        <v>107.42</v>
      </c>
      <c r="H517" s="85">
        <v>0.1</v>
      </c>
      <c r="I517" s="86">
        <f t="shared" si="16"/>
        <v>386.71199999999999</v>
      </c>
      <c r="J517" s="86">
        <v>206.25</v>
      </c>
      <c r="K517" s="86">
        <f t="shared" si="17"/>
        <v>180.46199999999999</v>
      </c>
      <c r="L517" s="87" t="s">
        <v>59</v>
      </c>
      <c r="M517" s="87" t="s">
        <v>64</v>
      </c>
      <c r="N517" s="88" t="s">
        <v>65</v>
      </c>
    </row>
    <row r="518" spans="1:14">
      <c r="A518" s="81">
        <v>45671</v>
      </c>
      <c r="B518" s="82" t="s">
        <v>586</v>
      </c>
      <c r="C518" s="82" t="s">
        <v>36</v>
      </c>
      <c r="D518" s="82" t="s">
        <v>27</v>
      </c>
      <c r="E518" s="82" t="s">
        <v>25</v>
      </c>
      <c r="F518" s="83">
        <v>4</v>
      </c>
      <c r="G518" s="84">
        <v>1361.79</v>
      </c>
      <c r="H518" s="85">
        <v>0.05</v>
      </c>
      <c r="I518" s="86">
        <f t="shared" si="16"/>
        <v>5174.8019999999997</v>
      </c>
      <c r="J518" s="86">
        <v>3704.07</v>
      </c>
      <c r="K518" s="86">
        <f t="shared" si="17"/>
        <v>1470.7319999999995</v>
      </c>
      <c r="L518" s="87" t="s">
        <v>63</v>
      </c>
      <c r="M518" s="87" t="s">
        <v>60</v>
      </c>
      <c r="N518" s="88" t="s">
        <v>65</v>
      </c>
    </row>
    <row r="519" spans="1:14">
      <c r="A519" s="81">
        <v>45672</v>
      </c>
      <c r="B519" s="82" t="s">
        <v>587</v>
      </c>
      <c r="C519" s="82" t="s">
        <v>40</v>
      </c>
      <c r="D519" s="82" t="s">
        <v>27</v>
      </c>
      <c r="E519" s="82" t="s">
        <v>35</v>
      </c>
      <c r="F519" s="83">
        <v>2</v>
      </c>
      <c r="G519" s="84">
        <v>383.31</v>
      </c>
      <c r="H519" s="85">
        <v>0.1</v>
      </c>
      <c r="I519" s="86">
        <f t="shared" si="16"/>
        <v>689.95799999999997</v>
      </c>
      <c r="J519" s="86">
        <v>459.97</v>
      </c>
      <c r="K519" s="86">
        <f t="shared" si="17"/>
        <v>229.98799999999994</v>
      </c>
      <c r="L519" s="87" t="s">
        <v>59</v>
      </c>
      <c r="M519" s="87" t="s">
        <v>64</v>
      </c>
      <c r="N519" s="88" t="s">
        <v>71</v>
      </c>
    </row>
    <row r="520" spans="1:14">
      <c r="A520" s="81">
        <v>45673</v>
      </c>
      <c r="B520" s="82" t="s">
        <v>588</v>
      </c>
      <c r="C520" s="82" t="s">
        <v>26</v>
      </c>
      <c r="D520" s="82" t="s">
        <v>32</v>
      </c>
      <c r="E520" s="82" t="s">
        <v>46</v>
      </c>
      <c r="F520" s="83">
        <v>6</v>
      </c>
      <c r="G520" s="84">
        <v>105.5</v>
      </c>
      <c r="H520" s="85">
        <v>0.1</v>
      </c>
      <c r="I520" s="86">
        <f t="shared" si="16"/>
        <v>569.70000000000005</v>
      </c>
      <c r="J520" s="86">
        <v>303.83999999999997</v>
      </c>
      <c r="K520" s="86">
        <f t="shared" si="17"/>
        <v>265.86000000000007</v>
      </c>
      <c r="L520" s="87" t="s">
        <v>59</v>
      </c>
      <c r="M520" s="87" t="s">
        <v>68</v>
      </c>
      <c r="N520" s="88" t="s">
        <v>65</v>
      </c>
    </row>
    <row r="521" spans="1:14">
      <c r="A521" s="81">
        <v>45675</v>
      </c>
      <c r="B521" s="82" t="s">
        <v>589</v>
      </c>
      <c r="C521" s="82" t="s">
        <v>36</v>
      </c>
      <c r="D521" s="82" t="s">
        <v>32</v>
      </c>
      <c r="E521" s="82" t="s">
        <v>46</v>
      </c>
      <c r="F521" s="83">
        <v>3</v>
      </c>
      <c r="G521" s="84">
        <v>106.88</v>
      </c>
      <c r="H521" s="85">
        <v>0.05</v>
      </c>
      <c r="I521" s="86">
        <f t="shared" si="16"/>
        <v>304.60799999999995</v>
      </c>
      <c r="J521" s="86">
        <v>153.91</v>
      </c>
      <c r="K521" s="86">
        <f t="shared" si="17"/>
        <v>150.69799999999995</v>
      </c>
      <c r="L521" s="87" t="s">
        <v>59</v>
      </c>
      <c r="M521" s="87" t="s">
        <v>64</v>
      </c>
      <c r="N521" s="88" t="s">
        <v>69</v>
      </c>
    </row>
    <row r="522" spans="1:14">
      <c r="A522" s="81">
        <v>45675</v>
      </c>
      <c r="B522" s="82" t="s">
        <v>590</v>
      </c>
      <c r="C522" s="82" t="s">
        <v>36</v>
      </c>
      <c r="D522" s="82" t="s">
        <v>37</v>
      </c>
      <c r="E522" s="82" t="s">
        <v>47</v>
      </c>
      <c r="F522" s="83">
        <v>7</v>
      </c>
      <c r="G522" s="84">
        <v>127.6</v>
      </c>
      <c r="H522" s="85">
        <v>0.08</v>
      </c>
      <c r="I522" s="86">
        <f t="shared" si="16"/>
        <v>821.74400000000003</v>
      </c>
      <c r="J522" s="86">
        <v>410.87</v>
      </c>
      <c r="K522" s="86">
        <f t="shared" si="17"/>
        <v>410.87400000000002</v>
      </c>
      <c r="L522" s="87" t="s">
        <v>59</v>
      </c>
      <c r="M522" s="87" t="s">
        <v>60</v>
      </c>
      <c r="N522" s="88" t="s">
        <v>65</v>
      </c>
    </row>
    <row r="523" spans="1:14">
      <c r="A523" s="81">
        <v>45676</v>
      </c>
      <c r="B523" s="82" t="s">
        <v>591</v>
      </c>
      <c r="C523" s="82" t="s">
        <v>36</v>
      </c>
      <c r="D523" s="82" t="s">
        <v>37</v>
      </c>
      <c r="E523" s="82" t="s">
        <v>47</v>
      </c>
      <c r="F523" s="83">
        <v>3</v>
      </c>
      <c r="G523" s="84">
        <v>135.12</v>
      </c>
      <c r="H523" s="85">
        <v>0</v>
      </c>
      <c r="I523" s="86">
        <f t="shared" si="16"/>
        <v>405.36</v>
      </c>
      <c r="J523" s="86">
        <v>186.47</v>
      </c>
      <c r="K523" s="86">
        <f t="shared" si="17"/>
        <v>218.89000000000001</v>
      </c>
      <c r="L523" s="87" t="s">
        <v>67</v>
      </c>
      <c r="M523" s="87" t="s">
        <v>64</v>
      </c>
      <c r="N523" s="88" t="s">
        <v>65</v>
      </c>
    </row>
    <row r="524" spans="1:14">
      <c r="A524" s="81">
        <v>45677</v>
      </c>
      <c r="B524" s="82" t="s">
        <v>592</v>
      </c>
      <c r="C524" s="82" t="s">
        <v>40</v>
      </c>
      <c r="D524" s="82" t="s">
        <v>32</v>
      </c>
      <c r="E524" s="82" t="s">
        <v>42</v>
      </c>
      <c r="F524" s="83">
        <v>10</v>
      </c>
      <c r="G524" s="84">
        <v>829.4</v>
      </c>
      <c r="H524" s="85">
        <v>0.05</v>
      </c>
      <c r="I524" s="86">
        <f t="shared" si="16"/>
        <v>7879.2999999999993</v>
      </c>
      <c r="J524" s="86">
        <v>5059.34</v>
      </c>
      <c r="K524" s="86">
        <f t="shared" si="17"/>
        <v>2819.9599999999991</v>
      </c>
      <c r="L524" s="87" t="s">
        <v>63</v>
      </c>
      <c r="M524" s="87" t="s">
        <v>68</v>
      </c>
      <c r="N524" s="88" t="s">
        <v>74</v>
      </c>
    </row>
    <row r="525" spans="1:14">
      <c r="A525" s="81">
        <v>45678</v>
      </c>
      <c r="B525" s="82" t="s">
        <v>593</v>
      </c>
      <c r="C525" s="82" t="s">
        <v>40</v>
      </c>
      <c r="D525" s="82" t="s">
        <v>37</v>
      </c>
      <c r="E525" s="82" t="s">
        <v>48</v>
      </c>
      <c r="F525" s="83">
        <v>6</v>
      </c>
      <c r="G525" s="84">
        <v>75.11</v>
      </c>
      <c r="H525" s="85">
        <v>0.05</v>
      </c>
      <c r="I525" s="86">
        <f t="shared" si="16"/>
        <v>428.12699999999995</v>
      </c>
      <c r="J525" s="86">
        <v>189.28</v>
      </c>
      <c r="K525" s="86">
        <f t="shared" si="17"/>
        <v>238.84699999999995</v>
      </c>
      <c r="L525" s="87" t="s">
        <v>63</v>
      </c>
      <c r="M525" s="87" t="s">
        <v>64</v>
      </c>
      <c r="N525" s="88" t="s">
        <v>71</v>
      </c>
    </row>
    <row r="526" spans="1:14">
      <c r="A526" s="81">
        <v>45678</v>
      </c>
      <c r="B526" s="82" t="s">
        <v>594</v>
      </c>
      <c r="C526" s="82" t="s">
        <v>40</v>
      </c>
      <c r="D526" s="82" t="s">
        <v>37</v>
      </c>
      <c r="E526" s="82" t="s">
        <v>47</v>
      </c>
      <c r="F526" s="83">
        <v>3</v>
      </c>
      <c r="G526" s="84">
        <v>128.35</v>
      </c>
      <c r="H526" s="85">
        <v>0</v>
      </c>
      <c r="I526" s="86">
        <f t="shared" si="16"/>
        <v>385.04999999999995</v>
      </c>
      <c r="J526" s="86">
        <v>177.12</v>
      </c>
      <c r="K526" s="86">
        <f t="shared" si="17"/>
        <v>207.92999999999995</v>
      </c>
      <c r="L526" s="87" t="s">
        <v>59</v>
      </c>
      <c r="M526" s="87" t="s">
        <v>68</v>
      </c>
      <c r="N526" s="88" t="s">
        <v>69</v>
      </c>
    </row>
    <row r="527" spans="1:14">
      <c r="A527" s="81">
        <v>45678</v>
      </c>
      <c r="B527" s="82" t="s">
        <v>595</v>
      </c>
      <c r="C527" s="82" t="s">
        <v>31</v>
      </c>
      <c r="D527" s="82" t="s">
        <v>27</v>
      </c>
      <c r="E527" s="82" t="s">
        <v>30</v>
      </c>
      <c r="F527" s="83">
        <v>3</v>
      </c>
      <c r="G527" s="84">
        <v>690.41</v>
      </c>
      <c r="H527" s="85">
        <v>0.1</v>
      </c>
      <c r="I527" s="86">
        <f t="shared" si="16"/>
        <v>1864.107</v>
      </c>
      <c r="J527" s="86">
        <v>1325.59</v>
      </c>
      <c r="K527" s="86">
        <f t="shared" si="17"/>
        <v>538.51700000000005</v>
      </c>
      <c r="L527" s="87" t="s">
        <v>63</v>
      </c>
      <c r="M527" s="87" t="s">
        <v>60</v>
      </c>
      <c r="N527" s="88" t="s">
        <v>71</v>
      </c>
    </row>
    <row r="528" spans="1:14">
      <c r="A528" s="81">
        <v>45678</v>
      </c>
      <c r="B528" s="82" t="s">
        <v>596</v>
      </c>
      <c r="C528" s="82" t="s">
        <v>31</v>
      </c>
      <c r="D528" s="82" t="s">
        <v>27</v>
      </c>
      <c r="E528" s="82" t="s">
        <v>35</v>
      </c>
      <c r="F528" s="83">
        <v>2</v>
      </c>
      <c r="G528" s="84">
        <v>402.68</v>
      </c>
      <c r="H528" s="85">
        <v>0.05</v>
      </c>
      <c r="I528" s="86">
        <f t="shared" si="16"/>
        <v>765.09199999999998</v>
      </c>
      <c r="J528" s="86">
        <v>483.22</v>
      </c>
      <c r="K528" s="86">
        <f t="shared" si="17"/>
        <v>281.87199999999996</v>
      </c>
      <c r="L528" s="87" t="s">
        <v>59</v>
      </c>
      <c r="M528" s="87" t="s">
        <v>64</v>
      </c>
      <c r="N528" s="88" t="s">
        <v>78</v>
      </c>
    </row>
    <row r="529" spans="1:14">
      <c r="A529" s="81">
        <v>45679</v>
      </c>
      <c r="B529" s="82" t="s">
        <v>597</v>
      </c>
      <c r="C529" s="82" t="s">
        <v>40</v>
      </c>
      <c r="D529" s="82" t="s">
        <v>37</v>
      </c>
      <c r="E529" s="82" t="s">
        <v>47</v>
      </c>
      <c r="F529" s="83">
        <v>7</v>
      </c>
      <c r="G529" s="84">
        <v>136.19</v>
      </c>
      <c r="H529" s="85">
        <v>0.03</v>
      </c>
      <c r="I529" s="86">
        <f t="shared" si="16"/>
        <v>924.73009999999988</v>
      </c>
      <c r="J529" s="86">
        <v>438.53</v>
      </c>
      <c r="K529" s="86">
        <f t="shared" si="17"/>
        <v>486.20009999999991</v>
      </c>
      <c r="L529" s="87" t="s">
        <v>59</v>
      </c>
      <c r="M529" s="87" t="s">
        <v>68</v>
      </c>
      <c r="N529" s="88" t="s">
        <v>78</v>
      </c>
    </row>
    <row r="530" spans="1:14">
      <c r="A530" s="81">
        <v>45679</v>
      </c>
      <c r="B530" s="82" t="s">
        <v>598</v>
      </c>
      <c r="C530" s="82" t="s">
        <v>36</v>
      </c>
      <c r="D530" s="82" t="s">
        <v>27</v>
      </c>
      <c r="E530" s="82" t="s">
        <v>35</v>
      </c>
      <c r="F530" s="83">
        <v>9</v>
      </c>
      <c r="G530" s="84">
        <v>397.2</v>
      </c>
      <c r="H530" s="85">
        <v>0.08</v>
      </c>
      <c r="I530" s="86">
        <f t="shared" si="16"/>
        <v>3288.8159999999998</v>
      </c>
      <c r="J530" s="86">
        <v>2144.88</v>
      </c>
      <c r="K530" s="86">
        <f t="shared" si="17"/>
        <v>1143.9359999999997</v>
      </c>
      <c r="L530" s="87" t="s">
        <v>67</v>
      </c>
      <c r="M530" s="87" t="s">
        <v>68</v>
      </c>
      <c r="N530" s="88" t="s">
        <v>65</v>
      </c>
    </row>
    <row r="531" spans="1:14">
      <c r="A531" s="81">
        <v>45679</v>
      </c>
      <c r="B531" s="82" t="s">
        <v>599</v>
      </c>
      <c r="C531" s="82" t="s">
        <v>31</v>
      </c>
      <c r="D531" s="82" t="s">
        <v>37</v>
      </c>
      <c r="E531" s="82" t="s">
        <v>47</v>
      </c>
      <c r="F531" s="83">
        <v>6</v>
      </c>
      <c r="G531" s="84">
        <v>138.22999999999999</v>
      </c>
      <c r="H531" s="85">
        <v>0.08</v>
      </c>
      <c r="I531" s="86">
        <f t="shared" si="16"/>
        <v>763.02959999999996</v>
      </c>
      <c r="J531" s="86">
        <v>381.51</v>
      </c>
      <c r="K531" s="86">
        <f t="shared" si="17"/>
        <v>381.51959999999997</v>
      </c>
      <c r="L531" s="87" t="s">
        <v>67</v>
      </c>
      <c r="M531" s="87" t="s">
        <v>64</v>
      </c>
      <c r="N531" s="88" t="s">
        <v>61</v>
      </c>
    </row>
    <row r="532" spans="1:14">
      <c r="A532" s="81">
        <v>45680</v>
      </c>
      <c r="B532" s="82" t="s">
        <v>600</v>
      </c>
      <c r="C532" s="82" t="s">
        <v>31</v>
      </c>
      <c r="D532" s="82" t="s">
        <v>32</v>
      </c>
      <c r="E532" s="82" t="s">
        <v>39</v>
      </c>
      <c r="F532" s="83">
        <v>2</v>
      </c>
      <c r="G532" s="84">
        <v>450.48</v>
      </c>
      <c r="H532" s="85">
        <v>0.03</v>
      </c>
      <c r="I532" s="86">
        <f t="shared" si="16"/>
        <v>873.93119999999999</v>
      </c>
      <c r="J532" s="86">
        <v>513.54999999999995</v>
      </c>
      <c r="K532" s="86">
        <f t="shared" si="17"/>
        <v>360.38120000000004</v>
      </c>
      <c r="L532" s="87" t="s">
        <v>63</v>
      </c>
      <c r="M532" s="87" t="s">
        <v>64</v>
      </c>
      <c r="N532" s="88" t="s">
        <v>69</v>
      </c>
    </row>
    <row r="533" spans="1:14">
      <c r="A533" s="81">
        <v>45680</v>
      </c>
      <c r="B533" s="82" t="s">
        <v>601</v>
      </c>
      <c r="C533" s="82" t="s">
        <v>36</v>
      </c>
      <c r="D533" s="82" t="s">
        <v>27</v>
      </c>
      <c r="E533" s="82" t="s">
        <v>25</v>
      </c>
      <c r="F533" s="83">
        <v>2</v>
      </c>
      <c r="G533" s="84">
        <v>1316.14</v>
      </c>
      <c r="H533" s="85">
        <v>0</v>
      </c>
      <c r="I533" s="86">
        <f t="shared" si="16"/>
        <v>2632.28</v>
      </c>
      <c r="J533" s="86">
        <v>1789.95</v>
      </c>
      <c r="K533" s="86">
        <f t="shared" si="17"/>
        <v>842.33000000000015</v>
      </c>
      <c r="L533" s="87" t="s">
        <v>59</v>
      </c>
      <c r="M533" s="87" t="s">
        <v>60</v>
      </c>
      <c r="N533" s="88" t="s">
        <v>69</v>
      </c>
    </row>
    <row r="534" spans="1:14">
      <c r="A534" s="81">
        <v>45681</v>
      </c>
      <c r="B534" s="82" t="s">
        <v>602</v>
      </c>
      <c r="C534" s="82" t="s">
        <v>26</v>
      </c>
      <c r="D534" s="82" t="s">
        <v>27</v>
      </c>
      <c r="E534" s="82" t="s">
        <v>25</v>
      </c>
      <c r="F534" s="83">
        <v>4</v>
      </c>
      <c r="G534" s="84">
        <v>1317.53</v>
      </c>
      <c r="H534" s="85">
        <v>0.12</v>
      </c>
      <c r="I534" s="86">
        <f t="shared" si="16"/>
        <v>4637.7056000000002</v>
      </c>
      <c r="J534" s="86">
        <v>3583.68</v>
      </c>
      <c r="K534" s="86">
        <f t="shared" si="17"/>
        <v>1054.0256000000004</v>
      </c>
      <c r="L534" s="87" t="s">
        <v>67</v>
      </c>
      <c r="M534" s="87" t="s">
        <v>60</v>
      </c>
      <c r="N534" s="88" t="s">
        <v>61</v>
      </c>
    </row>
    <row r="535" spans="1:14">
      <c r="A535" s="81">
        <v>45682</v>
      </c>
      <c r="B535" s="82" t="s">
        <v>603</v>
      </c>
      <c r="C535" s="82" t="s">
        <v>40</v>
      </c>
      <c r="D535" s="82" t="s">
        <v>32</v>
      </c>
      <c r="E535" s="82" t="s">
        <v>42</v>
      </c>
      <c r="F535" s="83">
        <v>8</v>
      </c>
      <c r="G535" s="84">
        <v>814.89</v>
      </c>
      <c r="H535" s="85">
        <v>0.12</v>
      </c>
      <c r="I535" s="86">
        <f t="shared" si="16"/>
        <v>5736.8256000000001</v>
      </c>
      <c r="J535" s="86">
        <v>3976.66</v>
      </c>
      <c r="K535" s="86">
        <f t="shared" si="17"/>
        <v>1760.1656000000003</v>
      </c>
      <c r="L535" s="87" t="s">
        <v>67</v>
      </c>
      <c r="M535" s="87" t="s">
        <v>60</v>
      </c>
      <c r="N535" s="88" t="s">
        <v>78</v>
      </c>
    </row>
    <row r="536" spans="1:14">
      <c r="A536" s="81">
        <v>45683</v>
      </c>
      <c r="B536" s="82" t="s">
        <v>604</v>
      </c>
      <c r="C536" s="82" t="s">
        <v>26</v>
      </c>
      <c r="D536" s="82" t="s">
        <v>27</v>
      </c>
      <c r="E536" s="82" t="s">
        <v>30</v>
      </c>
      <c r="F536" s="83">
        <v>3</v>
      </c>
      <c r="G536" s="84">
        <v>708.98</v>
      </c>
      <c r="H536" s="85">
        <v>0</v>
      </c>
      <c r="I536" s="86">
        <f t="shared" si="16"/>
        <v>2126.94</v>
      </c>
      <c r="J536" s="86">
        <v>1361.24</v>
      </c>
      <c r="K536" s="86">
        <f t="shared" si="17"/>
        <v>765.7</v>
      </c>
      <c r="L536" s="87" t="s">
        <v>67</v>
      </c>
      <c r="M536" s="87" t="s">
        <v>60</v>
      </c>
      <c r="N536" s="88" t="s">
        <v>74</v>
      </c>
    </row>
    <row r="537" spans="1:14">
      <c r="A537" s="81">
        <v>45683</v>
      </c>
      <c r="B537" s="82" t="s">
        <v>605</v>
      </c>
      <c r="C537" s="82" t="s">
        <v>36</v>
      </c>
      <c r="D537" s="82" t="s">
        <v>27</v>
      </c>
      <c r="E537" s="82" t="s">
        <v>25</v>
      </c>
      <c r="F537" s="83">
        <v>2</v>
      </c>
      <c r="G537" s="84">
        <v>1313.72</v>
      </c>
      <c r="H537" s="85">
        <v>0</v>
      </c>
      <c r="I537" s="86">
        <f t="shared" si="16"/>
        <v>2627.44</v>
      </c>
      <c r="J537" s="86">
        <v>1786.66</v>
      </c>
      <c r="K537" s="86">
        <f t="shared" si="17"/>
        <v>840.78</v>
      </c>
      <c r="L537" s="87" t="s">
        <v>63</v>
      </c>
      <c r="M537" s="87" t="s">
        <v>60</v>
      </c>
      <c r="N537" s="88" t="s">
        <v>71</v>
      </c>
    </row>
    <row r="538" spans="1:14">
      <c r="A538" s="81">
        <v>45683</v>
      </c>
      <c r="B538" s="82" t="s">
        <v>606</v>
      </c>
      <c r="C538" s="82" t="s">
        <v>40</v>
      </c>
      <c r="D538" s="82" t="s">
        <v>37</v>
      </c>
      <c r="E538" s="82" t="s">
        <v>47</v>
      </c>
      <c r="F538" s="83">
        <v>6</v>
      </c>
      <c r="G538" s="84">
        <v>127.84</v>
      </c>
      <c r="H538" s="85">
        <v>0</v>
      </c>
      <c r="I538" s="86">
        <f t="shared" si="16"/>
        <v>767.04</v>
      </c>
      <c r="J538" s="86">
        <v>352.84</v>
      </c>
      <c r="K538" s="86">
        <f t="shared" si="17"/>
        <v>414.2</v>
      </c>
      <c r="L538" s="87" t="s">
        <v>67</v>
      </c>
      <c r="M538" s="87" t="s">
        <v>68</v>
      </c>
      <c r="N538" s="88" t="s">
        <v>65</v>
      </c>
    </row>
    <row r="539" spans="1:14">
      <c r="A539" s="81">
        <v>45684</v>
      </c>
      <c r="B539" s="82" t="s">
        <v>607</v>
      </c>
      <c r="C539" s="82" t="s">
        <v>26</v>
      </c>
      <c r="D539" s="82" t="s">
        <v>32</v>
      </c>
      <c r="E539" s="82" t="s">
        <v>46</v>
      </c>
      <c r="F539" s="83">
        <v>6</v>
      </c>
      <c r="G539" s="84">
        <v>106.28</v>
      </c>
      <c r="H539" s="85">
        <v>0.05</v>
      </c>
      <c r="I539" s="86">
        <f t="shared" si="16"/>
        <v>605.79600000000005</v>
      </c>
      <c r="J539" s="86">
        <v>306.08999999999997</v>
      </c>
      <c r="K539" s="86">
        <f t="shared" si="17"/>
        <v>299.70600000000007</v>
      </c>
      <c r="L539" s="87" t="s">
        <v>63</v>
      </c>
      <c r="M539" s="87" t="s">
        <v>64</v>
      </c>
      <c r="N539" s="88" t="s">
        <v>61</v>
      </c>
    </row>
    <row r="540" spans="1:14">
      <c r="A540" s="81">
        <v>45684</v>
      </c>
      <c r="B540" s="82" t="s">
        <v>608</v>
      </c>
      <c r="C540" s="82" t="s">
        <v>40</v>
      </c>
      <c r="D540" s="82" t="s">
        <v>37</v>
      </c>
      <c r="E540" s="82" t="s">
        <v>47</v>
      </c>
      <c r="F540" s="83">
        <v>3</v>
      </c>
      <c r="G540" s="84">
        <v>134.63999999999999</v>
      </c>
      <c r="H540" s="85">
        <v>0.05</v>
      </c>
      <c r="I540" s="86">
        <f t="shared" si="16"/>
        <v>383.72399999999993</v>
      </c>
      <c r="J540" s="86">
        <v>185.8</v>
      </c>
      <c r="K540" s="86">
        <f t="shared" si="17"/>
        <v>197.92399999999992</v>
      </c>
      <c r="L540" s="87" t="s">
        <v>59</v>
      </c>
      <c r="M540" s="87" t="s">
        <v>60</v>
      </c>
      <c r="N540" s="88" t="s">
        <v>69</v>
      </c>
    </row>
    <row r="541" spans="1:14">
      <c r="A541" s="81">
        <v>45685</v>
      </c>
      <c r="B541" s="82" t="s">
        <v>609</v>
      </c>
      <c r="C541" s="82" t="s">
        <v>40</v>
      </c>
      <c r="D541" s="82" t="s">
        <v>27</v>
      </c>
      <c r="E541" s="82" t="s">
        <v>35</v>
      </c>
      <c r="F541" s="83">
        <v>6</v>
      </c>
      <c r="G541" s="84">
        <v>410.99</v>
      </c>
      <c r="H541" s="85">
        <v>0.1</v>
      </c>
      <c r="I541" s="86">
        <f t="shared" si="16"/>
        <v>2219.346</v>
      </c>
      <c r="J541" s="86">
        <v>1479.56</v>
      </c>
      <c r="K541" s="86">
        <f t="shared" si="17"/>
        <v>739.78600000000006</v>
      </c>
      <c r="L541" s="87" t="s">
        <v>67</v>
      </c>
      <c r="M541" s="87" t="s">
        <v>68</v>
      </c>
      <c r="N541" s="88" t="s">
        <v>78</v>
      </c>
    </row>
    <row r="542" spans="1:14">
      <c r="A542" s="81">
        <v>45686</v>
      </c>
      <c r="B542" s="82" t="s">
        <v>610</v>
      </c>
      <c r="C542" s="82" t="s">
        <v>31</v>
      </c>
      <c r="D542" s="82" t="s">
        <v>27</v>
      </c>
      <c r="E542" s="82" t="s">
        <v>25</v>
      </c>
      <c r="F542" s="83">
        <v>4</v>
      </c>
      <c r="G542" s="84">
        <v>1250.4000000000001</v>
      </c>
      <c r="H542" s="85">
        <v>0</v>
      </c>
      <c r="I542" s="86">
        <f t="shared" si="16"/>
        <v>5001.6000000000004</v>
      </c>
      <c r="J542" s="86">
        <v>3401.09</v>
      </c>
      <c r="K542" s="86">
        <f t="shared" si="17"/>
        <v>1600.5100000000002</v>
      </c>
      <c r="L542" s="87" t="s">
        <v>59</v>
      </c>
      <c r="M542" s="87" t="s">
        <v>68</v>
      </c>
      <c r="N542" s="88" t="s">
        <v>71</v>
      </c>
    </row>
    <row r="543" spans="1:14">
      <c r="A543" s="81">
        <v>45686</v>
      </c>
      <c r="B543" s="82" t="s">
        <v>611</v>
      </c>
      <c r="C543" s="82" t="s">
        <v>31</v>
      </c>
      <c r="D543" s="82" t="s">
        <v>27</v>
      </c>
      <c r="E543" s="82" t="s">
        <v>35</v>
      </c>
      <c r="F543" s="83">
        <v>6</v>
      </c>
      <c r="G543" s="84">
        <v>384.66</v>
      </c>
      <c r="H543" s="85">
        <v>0</v>
      </c>
      <c r="I543" s="86">
        <f t="shared" si="16"/>
        <v>2307.96</v>
      </c>
      <c r="J543" s="86">
        <v>1384.78</v>
      </c>
      <c r="K543" s="86">
        <f t="shared" si="17"/>
        <v>923.18000000000006</v>
      </c>
      <c r="L543" s="87" t="s">
        <v>59</v>
      </c>
      <c r="M543" s="87" t="s">
        <v>68</v>
      </c>
      <c r="N543" s="88" t="s">
        <v>61</v>
      </c>
    </row>
    <row r="544" spans="1:14">
      <c r="A544" s="81">
        <v>45687</v>
      </c>
      <c r="B544" s="82" t="s">
        <v>612</v>
      </c>
      <c r="C544" s="82" t="s">
        <v>36</v>
      </c>
      <c r="D544" s="82" t="s">
        <v>37</v>
      </c>
      <c r="E544" s="82" t="s">
        <v>48</v>
      </c>
      <c r="F544" s="83">
        <v>7</v>
      </c>
      <c r="G544" s="84">
        <v>78.06</v>
      </c>
      <c r="H544" s="85">
        <v>0</v>
      </c>
      <c r="I544" s="86">
        <f t="shared" si="16"/>
        <v>546.42000000000007</v>
      </c>
      <c r="J544" s="86">
        <v>229.5</v>
      </c>
      <c r="K544" s="86">
        <f t="shared" si="17"/>
        <v>316.92000000000007</v>
      </c>
      <c r="L544" s="87" t="s">
        <v>59</v>
      </c>
      <c r="M544" s="87" t="s">
        <v>60</v>
      </c>
      <c r="N544" s="88" t="s">
        <v>61</v>
      </c>
    </row>
    <row r="545" spans="1:14">
      <c r="A545" s="81">
        <v>45688</v>
      </c>
      <c r="B545" s="82" t="s">
        <v>613</v>
      </c>
      <c r="C545" s="82" t="s">
        <v>40</v>
      </c>
      <c r="D545" s="82" t="s">
        <v>37</v>
      </c>
      <c r="E545" s="82" t="s">
        <v>47</v>
      </c>
      <c r="F545" s="83">
        <v>5</v>
      </c>
      <c r="G545" s="84">
        <v>128.87</v>
      </c>
      <c r="H545" s="85">
        <v>0.05</v>
      </c>
      <c r="I545" s="86">
        <f t="shared" si="16"/>
        <v>612.13249999999994</v>
      </c>
      <c r="J545" s="86">
        <v>296.39999999999998</v>
      </c>
      <c r="K545" s="86">
        <f t="shared" si="17"/>
        <v>315.73249999999996</v>
      </c>
      <c r="L545" s="87" t="s">
        <v>67</v>
      </c>
      <c r="M545" s="87" t="s">
        <v>60</v>
      </c>
      <c r="N545" s="88" t="s">
        <v>74</v>
      </c>
    </row>
    <row r="546" spans="1:14">
      <c r="A546" s="81">
        <v>45689</v>
      </c>
      <c r="B546" s="82" t="s">
        <v>614</v>
      </c>
      <c r="C546" s="82" t="s">
        <v>36</v>
      </c>
      <c r="D546" s="82" t="s">
        <v>27</v>
      </c>
      <c r="E546" s="82" t="s">
        <v>30</v>
      </c>
      <c r="F546" s="83">
        <v>6</v>
      </c>
      <c r="G546" s="84">
        <v>661.52</v>
      </c>
      <c r="H546" s="85">
        <v>0</v>
      </c>
      <c r="I546" s="86">
        <f t="shared" si="16"/>
        <v>3969.12</v>
      </c>
      <c r="J546" s="86">
        <v>2540.2399999999998</v>
      </c>
      <c r="K546" s="86">
        <f t="shared" si="17"/>
        <v>1428.88</v>
      </c>
      <c r="L546" s="87" t="s">
        <v>67</v>
      </c>
      <c r="M546" s="87" t="s">
        <v>64</v>
      </c>
      <c r="N546" s="88" t="s">
        <v>61</v>
      </c>
    </row>
    <row r="547" spans="1:14">
      <c r="A547" s="81">
        <v>45690</v>
      </c>
      <c r="B547" s="82" t="s">
        <v>615</v>
      </c>
      <c r="C547" s="82" t="s">
        <v>26</v>
      </c>
      <c r="D547" s="82" t="s">
        <v>32</v>
      </c>
      <c r="E547" s="82" t="s">
        <v>42</v>
      </c>
      <c r="F547" s="83">
        <v>8</v>
      </c>
      <c r="G547" s="84">
        <v>835.78</v>
      </c>
      <c r="H547" s="85">
        <v>0.03</v>
      </c>
      <c r="I547" s="86">
        <f t="shared" si="16"/>
        <v>6485.6527999999998</v>
      </c>
      <c r="J547" s="86">
        <v>4078.61</v>
      </c>
      <c r="K547" s="86">
        <f t="shared" si="17"/>
        <v>2407.0427999999997</v>
      </c>
      <c r="L547" s="87" t="s">
        <v>59</v>
      </c>
      <c r="M547" s="87" t="s">
        <v>64</v>
      </c>
      <c r="N547" s="88" t="s">
        <v>74</v>
      </c>
    </row>
    <row r="548" spans="1:14">
      <c r="A548" s="81">
        <v>45690</v>
      </c>
      <c r="B548" s="82" t="s">
        <v>616</v>
      </c>
      <c r="C548" s="82" t="s">
        <v>40</v>
      </c>
      <c r="D548" s="82" t="s">
        <v>27</v>
      </c>
      <c r="E548" s="82" t="s">
        <v>35</v>
      </c>
      <c r="F548" s="83">
        <v>2</v>
      </c>
      <c r="G548" s="84">
        <v>399.87</v>
      </c>
      <c r="H548" s="85">
        <v>0.1</v>
      </c>
      <c r="I548" s="86">
        <f t="shared" si="16"/>
        <v>719.76600000000008</v>
      </c>
      <c r="J548" s="86">
        <v>479.84</v>
      </c>
      <c r="K548" s="86">
        <f t="shared" si="17"/>
        <v>239.9260000000001</v>
      </c>
      <c r="L548" s="87" t="s">
        <v>59</v>
      </c>
      <c r="M548" s="87" t="s">
        <v>60</v>
      </c>
      <c r="N548" s="88" t="s">
        <v>74</v>
      </c>
    </row>
    <row r="549" spans="1:14">
      <c r="A549" s="81">
        <v>45691</v>
      </c>
      <c r="B549" s="82" t="s">
        <v>617</v>
      </c>
      <c r="C549" s="82" t="s">
        <v>36</v>
      </c>
      <c r="D549" s="82" t="s">
        <v>27</v>
      </c>
      <c r="E549" s="82" t="s">
        <v>35</v>
      </c>
      <c r="F549" s="83">
        <v>6</v>
      </c>
      <c r="G549" s="84">
        <v>413.83</v>
      </c>
      <c r="H549" s="85">
        <v>0.05</v>
      </c>
      <c r="I549" s="86">
        <f t="shared" si="16"/>
        <v>2358.8310000000001</v>
      </c>
      <c r="J549" s="86">
        <v>1489.79</v>
      </c>
      <c r="K549" s="86">
        <f t="shared" si="17"/>
        <v>869.04100000000017</v>
      </c>
      <c r="L549" s="87" t="s">
        <v>59</v>
      </c>
      <c r="M549" s="87" t="s">
        <v>60</v>
      </c>
      <c r="N549" s="88" t="s">
        <v>71</v>
      </c>
    </row>
    <row r="550" spans="1:14">
      <c r="A550" s="81">
        <v>45693</v>
      </c>
      <c r="B550" s="82" t="s">
        <v>618</v>
      </c>
      <c r="C550" s="82" t="s">
        <v>40</v>
      </c>
      <c r="D550" s="82" t="s">
        <v>37</v>
      </c>
      <c r="E550" s="82" t="s">
        <v>47</v>
      </c>
      <c r="F550" s="83">
        <v>5</v>
      </c>
      <c r="G550" s="84">
        <v>136.54</v>
      </c>
      <c r="H550" s="85">
        <v>0.05</v>
      </c>
      <c r="I550" s="86">
        <f t="shared" si="16"/>
        <v>648.56499999999994</v>
      </c>
      <c r="J550" s="86">
        <v>314.04000000000002</v>
      </c>
      <c r="K550" s="86">
        <f t="shared" si="17"/>
        <v>334.52499999999992</v>
      </c>
      <c r="L550" s="87" t="s">
        <v>67</v>
      </c>
      <c r="M550" s="87" t="s">
        <v>60</v>
      </c>
      <c r="N550" s="88" t="s">
        <v>74</v>
      </c>
    </row>
    <row r="551" spans="1:14">
      <c r="A551" s="81">
        <v>45694</v>
      </c>
      <c r="B551" s="82" t="s">
        <v>619</v>
      </c>
      <c r="C551" s="82" t="s">
        <v>40</v>
      </c>
      <c r="D551" s="82" t="s">
        <v>37</v>
      </c>
      <c r="E551" s="82" t="s">
        <v>48</v>
      </c>
      <c r="F551" s="83">
        <v>2</v>
      </c>
      <c r="G551" s="84">
        <v>71.55</v>
      </c>
      <c r="H551" s="85">
        <v>0.05</v>
      </c>
      <c r="I551" s="86">
        <f t="shared" si="16"/>
        <v>135.94499999999999</v>
      </c>
      <c r="J551" s="86">
        <v>60.1</v>
      </c>
      <c r="K551" s="86">
        <f t="shared" si="17"/>
        <v>75.844999999999999</v>
      </c>
      <c r="L551" s="87" t="s">
        <v>59</v>
      </c>
      <c r="M551" s="87" t="s">
        <v>60</v>
      </c>
      <c r="N551" s="88" t="s">
        <v>71</v>
      </c>
    </row>
    <row r="552" spans="1:14">
      <c r="A552" s="81">
        <v>45694</v>
      </c>
      <c r="B552" s="82" t="s">
        <v>620</v>
      </c>
      <c r="C552" s="82" t="s">
        <v>40</v>
      </c>
      <c r="D552" s="82" t="s">
        <v>32</v>
      </c>
      <c r="E552" s="82" t="s">
        <v>39</v>
      </c>
      <c r="F552" s="83">
        <v>2</v>
      </c>
      <c r="G552" s="84">
        <v>458.81</v>
      </c>
      <c r="H552" s="85">
        <v>0.03</v>
      </c>
      <c r="I552" s="86">
        <f t="shared" si="16"/>
        <v>890.09140000000002</v>
      </c>
      <c r="J552" s="86">
        <v>523.04</v>
      </c>
      <c r="K552" s="86">
        <f t="shared" si="17"/>
        <v>367.05140000000006</v>
      </c>
      <c r="L552" s="87" t="s">
        <v>63</v>
      </c>
      <c r="M552" s="87" t="s">
        <v>60</v>
      </c>
      <c r="N552" s="88" t="s">
        <v>69</v>
      </c>
    </row>
    <row r="553" spans="1:14">
      <c r="A553" s="81">
        <v>45694</v>
      </c>
      <c r="B553" s="82" t="s">
        <v>621</v>
      </c>
      <c r="C553" s="82" t="s">
        <v>31</v>
      </c>
      <c r="D553" s="82" t="s">
        <v>37</v>
      </c>
      <c r="E553" s="82" t="s">
        <v>47</v>
      </c>
      <c r="F553" s="83">
        <v>8</v>
      </c>
      <c r="G553" s="84">
        <v>134.79</v>
      </c>
      <c r="H553" s="85">
        <v>0.12</v>
      </c>
      <c r="I553" s="86">
        <f t="shared" si="16"/>
        <v>948.9215999999999</v>
      </c>
      <c r="J553" s="86">
        <v>496.03</v>
      </c>
      <c r="K553" s="86">
        <f t="shared" si="17"/>
        <v>452.89159999999993</v>
      </c>
      <c r="L553" s="87" t="s">
        <v>63</v>
      </c>
      <c r="M553" s="87" t="s">
        <v>60</v>
      </c>
      <c r="N553" s="88" t="s">
        <v>74</v>
      </c>
    </row>
    <row r="554" spans="1:14">
      <c r="A554" s="81">
        <v>45695</v>
      </c>
      <c r="B554" s="82" t="s">
        <v>622</v>
      </c>
      <c r="C554" s="82" t="s">
        <v>31</v>
      </c>
      <c r="D554" s="82" t="s">
        <v>27</v>
      </c>
      <c r="E554" s="82" t="s">
        <v>25</v>
      </c>
      <c r="F554" s="83">
        <v>6</v>
      </c>
      <c r="G554" s="84">
        <v>1318.75</v>
      </c>
      <c r="H554" s="85">
        <v>0</v>
      </c>
      <c r="I554" s="86">
        <f t="shared" si="16"/>
        <v>7912.5</v>
      </c>
      <c r="J554" s="86">
        <v>5380.5</v>
      </c>
      <c r="K554" s="86">
        <f t="shared" si="17"/>
        <v>2532</v>
      </c>
      <c r="L554" s="87" t="s">
        <v>67</v>
      </c>
      <c r="M554" s="87" t="s">
        <v>68</v>
      </c>
      <c r="N554" s="88" t="s">
        <v>65</v>
      </c>
    </row>
    <row r="555" spans="1:14">
      <c r="A555" s="81">
        <v>45695</v>
      </c>
      <c r="B555" s="82" t="s">
        <v>623</v>
      </c>
      <c r="C555" s="82" t="s">
        <v>26</v>
      </c>
      <c r="D555" s="82" t="s">
        <v>32</v>
      </c>
      <c r="E555" s="82" t="s">
        <v>46</v>
      </c>
      <c r="F555" s="83">
        <v>10</v>
      </c>
      <c r="G555" s="84">
        <v>107.68</v>
      </c>
      <c r="H555" s="85">
        <v>0.05</v>
      </c>
      <c r="I555" s="86">
        <f t="shared" si="16"/>
        <v>1022.9600000000002</v>
      </c>
      <c r="J555" s="86">
        <v>516.86</v>
      </c>
      <c r="K555" s="86">
        <f t="shared" si="17"/>
        <v>506.10000000000014</v>
      </c>
      <c r="L555" s="87" t="s">
        <v>63</v>
      </c>
      <c r="M555" s="87" t="s">
        <v>68</v>
      </c>
      <c r="N555" s="88" t="s">
        <v>69</v>
      </c>
    </row>
    <row r="556" spans="1:14">
      <c r="A556" s="81">
        <v>45695</v>
      </c>
      <c r="B556" s="82" t="s">
        <v>624</v>
      </c>
      <c r="C556" s="82" t="s">
        <v>26</v>
      </c>
      <c r="D556" s="82" t="s">
        <v>37</v>
      </c>
      <c r="E556" s="82" t="s">
        <v>48</v>
      </c>
      <c r="F556" s="83">
        <v>2</v>
      </c>
      <c r="G556" s="84">
        <v>76.900000000000006</v>
      </c>
      <c r="H556" s="85">
        <v>0.12</v>
      </c>
      <c r="I556" s="86">
        <f t="shared" si="16"/>
        <v>135.34400000000002</v>
      </c>
      <c r="J556" s="86">
        <v>64.599999999999994</v>
      </c>
      <c r="K556" s="86">
        <f t="shared" si="17"/>
        <v>70.744000000000028</v>
      </c>
      <c r="L556" s="87" t="s">
        <v>59</v>
      </c>
      <c r="M556" s="87" t="s">
        <v>60</v>
      </c>
      <c r="N556" s="88" t="s">
        <v>65</v>
      </c>
    </row>
    <row r="557" spans="1:14">
      <c r="A557" s="81">
        <v>45696</v>
      </c>
      <c r="B557" s="82" t="s">
        <v>625</v>
      </c>
      <c r="C557" s="82" t="s">
        <v>40</v>
      </c>
      <c r="D557" s="82" t="s">
        <v>27</v>
      </c>
      <c r="E557" s="82" t="s">
        <v>30</v>
      </c>
      <c r="F557" s="83">
        <v>4</v>
      </c>
      <c r="G557" s="84">
        <v>715.56</v>
      </c>
      <c r="H557" s="85">
        <v>0</v>
      </c>
      <c r="I557" s="86">
        <f t="shared" si="16"/>
        <v>2862.24</v>
      </c>
      <c r="J557" s="86">
        <v>1831.83</v>
      </c>
      <c r="K557" s="86">
        <f t="shared" si="17"/>
        <v>1030.4099999999999</v>
      </c>
      <c r="L557" s="87" t="s">
        <v>59</v>
      </c>
      <c r="M557" s="87" t="s">
        <v>60</v>
      </c>
      <c r="N557" s="88" t="s">
        <v>74</v>
      </c>
    </row>
    <row r="558" spans="1:14">
      <c r="A558" s="81">
        <v>45697</v>
      </c>
      <c r="B558" s="82" t="s">
        <v>626</v>
      </c>
      <c r="C558" s="82" t="s">
        <v>36</v>
      </c>
      <c r="D558" s="82" t="s">
        <v>32</v>
      </c>
      <c r="E558" s="82" t="s">
        <v>39</v>
      </c>
      <c r="F558" s="83">
        <v>4</v>
      </c>
      <c r="G558" s="84">
        <v>494.12</v>
      </c>
      <c r="H558" s="85">
        <v>0.03</v>
      </c>
      <c r="I558" s="86">
        <f t="shared" si="16"/>
        <v>1917.1856</v>
      </c>
      <c r="J558" s="86">
        <v>1126.5899999999999</v>
      </c>
      <c r="K558" s="86">
        <f t="shared" si="17"/>
        <v>790.5956000000001</v>
      </c>
      <c r="L558" s="87" t="s">
        <v>59</v>
      </c>
      <c r="M558" s="87" t="s">
        <v>60</v>
      </c>
      <c r="N558" s="88" t="s">
        <v>78</v>
      </c>
    </row>
    <row r="559" spans="1:14">
      <c r="A559" s="81">
        <v>45697</v>
      </c>
      <c r="B559" s="82" t="s">
        <v>627</v>
      </c>
      <c r="C559" s="82" t="s">
        <v>40</v>
      </c>
      <c r="D559" s="82" t="s">
        <v>37</v>
      </c>
      <c r="E559" s="82" t="s">
        <v>48</v>
      </c>
      <c r="F559" s="83">
        <v>1</v>
      </c>
      <c r="G559" s="84">
        <v>72.77</v>
      </c>
      <c r="H559" s="85">
        <v>0.05</v>
      </c>
      <c r="I559" s="86">
        <f t="shared" si="16"/>
        <v>69.131499999999988</v>
      </c>
      <c r="J559" s="86">
        <v>30.56</v>
      </c>
      <c r="K559" s="86">
        <f t="shared" si="17"/>
        <v>38.571499999999986</v>
      </c>
      <c r="L559" s="87" t="s">
        <v>63</v>
      </c>
      <c r="M559" s="87" t="s">
        <v>64</v>
      </c>
      <c r="N559" s="88" t="s">
        <v>69</v>
      </c>
    </row>
    <row r="560" spans="1:14">
      <c r="A560" s="81">
        <v>45699</v>
      </c>
      <c r="B560" s="82" t="s">
        <v>628</v>
      </c>
      <c r="C560" s="82" t="s">
        <v>36</v>
      </c>
      <c r="D560" s="82" t="s">
        <v>32</v>
      </c>
      <c r="E560" s="82" t="s">
        <v>42</v>
      </c>
      <c r="F560" s="83">
        <v>6</v>
      </c>
      <c r="G560" s="84">
        <v>831.75</v>
      </c>
      <c r="H560" s="85">
        <v>0.1</v>
      </c>
      <c r="I560" s="86">
        <f t="shared" si="16"/>
        <v>4491.45</v>
      </c>
      <c r="J560" s="86">
        <v>3044.21</v>
      </c>
      <c r="K560" s="86">
        <f t="shared" si="17"/>
        <v>1447.2399999999998</v>
      </c>
      <c r="L560" s="87" t="s">
        <v>59</v>
      </c>
      <c r="M560" s="87" t="s">
        <v>60</v>
      </c>
      <c r="N560" s="88" t="s">
        <v>65</v>
      </c>
    </row>
    <row r="561" spans="1:14">
      <c r="A561" s="81">
        <v>45699</v>
      </c>
      <c r="B561" s="82" t="s">
        <v>629</v>
      </c>
      <c r="C561" s="82" t="s">
        <v>31</v>
      </c>
      <c r="D561" s="82" t="s">
        <v>27</v>
      </c>
      <c r="E561" s="82" t="s">
        <v>25</v>
      </c>
      <c r="F561" s="83">
        <v>4</v>
      </c>
      <c r="G561" s="84">
        <v>1280.3599999999999</v>
      </c>
      <c r="H561" s="85">
        <v>0.03</v>
      </c>
      <c r="I561" s="86">
        <f t="shared" si="16"/>
        <v>4967.7967999999992</v>
      </c>
      <c r="J561" s="86">
        <v>3482.58</v>
      </c>
      <c r="K561" s="86">
        <f t="shared" si="17"/>
        <v>1485.2167999999992</v>
      </c>
      <c r="L561" s="87" t="s">
        <v>59</v>
      </c>
      <c r="M561" s="87" t="s">
        <v>60</v>
      </c>
      <c r="N561" s="88" t="s">
        <v>65</v>
      </c>
    </row>
    <row r="562" spans="1:14">
      <c r="A562" s="81">
        <v>45700</v>
      </c>
      <c r="B562" s="82" t="s">
        <v>630</v>
      </c>
      <c r="C562" s="82" t="s">
        <v>31</v>
      </c>
      <c r="D562" s="82" t="s">
        <v>32</v>
      </c>
      <c r="E562" s="82" t="s">
        <v>46</v>
      </c>
      <c r="F562" s="83">
        <v>1</v>
      </c>
      <c r="G562" s="84">
        <v>99.64</v>
      </c>
      <c r="H562" s="85">
        <v>0.12</v>
      </c>
      <c r="I562" s="86">
        <f t="shared" si="16"/>
        <v>87.683199999999999</v>
      </c>
      <c r="J562" s="86">
        <v>47.83</v>
      </c>
      <c r="K562" s="86">
        <f t="shared" si="17"/>
        <v>39.853200000000001</v>
      </c>
      <c r="L562" s="87" t="s">
        <v>67</v>
      </c>
      <c r="M562" s="87" t="s">
        <v>60</v>
      </c>
      <c r="N562" s="88" t="s">
        <v>61</v>
      </c>
    </row>
    <row r="563" spans="1:14">
      <c r="A563" s="81">
        <v>45700</v>
      </c>
      <c r="B563" s="82" t="s">
        <v>631</v>
      </c>
      <c r="C563" s="82" t="s">
        <v>31</v>
      </c>
      <c r="D563" s="82" t="s">
        <v>32</v>
      </c>
      <c r="E563" s="82" t="s">
        <v>46</v>
      </c>
      <c r="F563" s="83">
        <v>6</v>
      </c>
      <c r="G563" s="84">
        <v>107.43</v>
      </c>
      <c r="H563" s="85">
        <v>0.05</v>
      </c>
      <c r="I563" s="86">
        <f t="shared" si="16"/>
        <v>612.351</v>
      </c>
      <c r="J563" s="86">
        <v>309.39999999999998</v>
      </c>
      <c r="K563" s="86">
        <f t="shared" si="17"/>
        <v>302.95100000000002</v>
      </c>
      <c r="L563" s="87" t="s">
        <v>59</v>
      </c>
      <c r="M563" s="87" t="s">
        <v>64</v>
      </c>
      <c r="N563" s="88" t="s">
        <v>61</v>
      </c>
    </row>
    <row r="564" spans="1:14">
      <c r="A564" s="81">
        <v>45700</v>
      </c>
      <c r="B564" s="82" t="s">
        <v>632</v>
      </c>
      <c r="C564" s="82" t="s">
        <v>40</v>
      </c>
      <c r="D564" s="82" t="s">
        <v>37</v>
      </c>
      <c r="E564" s="82" t="s">
        <v>48</v>
      </c>
      <c r="F564" s="83">
        <v>7</v>
      </c>
      <c r="G564" s="84">
        <v>73.39</v>
      </c>
      <c r="H564" s="85">
        <v>0.1</v>
      </c>
      <c r="I564" s="86">
        <f t="shared" si="16"/>
        <v>462.35700000000003</v>
      </c>
      <c r="J564" s="86">
        <v>215.77</v>
      </c>
      <c r="K564" s="86">
        <f t="shared" si="17"/>
        <v>246.58700000000002</v>
      </c>
      <c r="L564" s="87" t="s">
        <v>63</v>
      </c>
      <c r="M564" s="87" t="s">
        <v>60</v>
      </c>
      <c r="N564" s="88" t="s">
        <v>78</v>
      </c>
    </row>
    <row r="565" spans="1:14">
      <c r="A565" s="81">
        <v>45700</v>
      </c>
      <c r="B565" s="82" t="s">
        <v>633</v>
      </c>
      <c r="C565" s="82" t="s">
        <v>36</v>
      </c>
      <c r="D565" s="82" t="s">
        <v>32</v>
      </c>
      <c r="E565" s="82" t="s">
        <v>46</v>
      </c>
      <c r="F565" s="83">
        <v>10</v>
      </c>
      <c r="G565" s="84">
        <v>106.31</v>
      </c>
      <c r="H565" s="85">
        <v>0.03</v>
      </c>
      <c r="I565" s="86">
        <f t="shared" si="16"/>
        <v>1031.2069999999999</v>
      </c>
      <c r="J565" s="86">
        <v>510.29</v>
      </c>
      <c r="K565" s="86">
        <f t="shared" si="17"/>
        <v>520.91699999999992</v>
      </c>
      <c r="L565" s="87" t="s">
        <v>59</v>
      </c>
      <c r="M565" s="87" t="s">
        <v>68</v>
      </c>
      <c r="N565" s="88" t="s">
        <v>74</v>
      </c>
    </row>
    <row r="566" spans="1:14">
      <c r="A566" s="81">
        <v>45701</v>
      </c>
      <c r="B566" s="82" t="s">
        <v>634</v>
      </c>
      <c r="C566" s="82" t="s">
        <v>40</v>
      </c>
      <c r="D566" s="82" t="s">
        <v>37</v>
      </c>
      <c r="E566" s="82" t="s">
        <v>47</v>
      </c>
      <c r="F566" s="83">
        <v>1</v>
      </c>
      <c r="G566" s="84">
        <v>137.4</v>
      </c>
      <c r="H566" s="85">
        <v>0.03</v>
      </c>
      <c r="I566" s="86">
        <f t="shared" si="16"/>
        <v>133.27799999999999</v>
      </c>
      <c r="J566" s="86">
        <v>63.2</v>
      </c>
      <c r="K566" s="86">
        <f t="shared" si="17"/>
        <v>70.077999999999989</v>
      </c>
      <c r="L566" s="87" t="s">
        <v>59</v>
      </c>
      <c r="M566" s="87" t="s">
        <v>64</v>
      </c>
      <c r="N566" s="88" t="s">
        <v>71</v>
      </c>
    </row>
    <row r="567" spans="1:14">
      <c r="A567" s="81">
        <v>45702</v>
      </c>
      <c r="B567" s="82" t="s">
        <v>635</v>
      </c>
      <c r="C567" s="82" t="s">
        <v>26</v>
      </c>
      <c r="D567" s="82" t="s">
        <v>27</v>
      </c>
      <c r="E567" s="82" t="s">
        <v>30</v>
      </c>
      <c r="F567" s="83">
        <v>3</v>
      </c>
      <c r="G567" s="84">
        <v>697.92</v>
      </c>
      <c r="H567" s="85">
        <v>0</v>
      </c>
      <c r="I567" s="86">
        <f t="shared" si="16"/>
        <v>2093.7599999999998</v>
      </c>
      <c r="J567" s="86">
        <v>1340.01</v>
      </c>
      <c r="K567" s="86">
        <f t="shared" si="17"/>
        <v>753.74999999999977</v>
      </c>
      <c r="L567" s="87" t="s">
        <v>67</v>
      </c>
      <c r="M567" s="87" t="s">
        <v>60</v>
      </c>
      <c r="N567" s="88" t="s">
        <v>61</v>
      </c>
    </row>
    <row r="568" spans="1:14">
      <c r="A568" s="81">
        <v>45703</v>
      </c>
      <c r="B568" s="82" t="s">
        <v>636</v>
      </c>
      <c r="C568" s="82" t="s">
        <v>26</v>
      </c>
      <c r="D568" s="82" t="s">
        <v>32</v>
      </c>
      <c r="E568" s="82" t="s">
        <v>42</v>
      </c>
      <c r="F568" s="83">
        <v>7</v>
      </c>
      <c r="G568" s="84">
        <v>855.02</v>
      </c>
      <c r="H568" s="85">
        <v>0.03</v>
      </c>
      <c r="I568" s="86">
        <f t="shared" si="16"/>
        <v>5805.5857999999989</v>
      </c>
      <c r="J568" s="86">
        <v>3650.94</v>
      </c>
      <c r="K568" s="86">
        <f t="shared" si="17"/>
        <v>2154.6457999999989</v>
      </c>
      <c r="L568" s="87" t="s">
        <v>59</v>
      </c>
      <c r="M568" s="87" t="s">
        <v>64</v>
      </c>
      <c r="N568" s="88" t="s">
        <v>65</v>
      </c>
    </row>
    <row r="569" spans="1:14">
      <c r="A569" s="81">
        <v>45703</v>
      </c>
      <c r="B569" s="82" t="s">
        <v>637</v>
      </c>
      <c r="C569" s="82" t="s">
        <v>40</v>
      </c>
      <c r="D569" s="82" t="s">
        <v>37</v>
      </c>
      <c r="E569" s="82" t="s">
        <v>47</v>
      </c>
      <c r="F569" s="83">
        <v>8</v>
      </c>
      <c r="G569" s="84">
        <v>138.05000000000001</v>
      </c>
      <c r="H569" s="85">
        <v>0</v>
      </c>
      <c r="I569" s="86">
        <f t="shared" si="16"/>
        <v>1104.4000000000001</v>
      </c>
      <c r="J569" s="86">
        <v>508.02</v>
      </c>
      <c r="K569" s="86">
        <f t="shared" si="17"/>
        <v>596.38000000000011</v>
      </c>
      <c r="L569" s="87" t="s">
        <v>63</v>
      </c>
      <c r="M569" s="87" t="s">
        <v>64</v>
      </c>
      <c r="N569" s="88" t="s">
        <v>65</v>
      </c>
    </row>
    <row r="570" spans="1:14">
      <c r="A570" s="81">
        <v>45704</v>
      </c>
      <c r="B570" s="82" t="s">
        <v>638</v>
      </c>
      <c r="C570" s="82" t="s">
        <v>40</v>
      </c>
      <c r="D570" s="82" t="s">
        <v>27</v>
      </c>
      <c r="E570" s="82" t="s">
        <v>30</v>
      </c>
      <c r="F570" s="83">
        <v>3</v>
      </c>
      <c r="G570" s="84">
        <v>674.68</v>
      </c>
      <c r="H570" s="85">
        <v>0</v>
      </c>
      <c r="I570" s="86">
        <f t="shared" si="16"/>
        <v>2024.04</v>
      </c>
      <c r="J570" s="86">
        <v>1295.3900000000001</v>
      </c>
      <c r="K570" s="86">
        <f t="shared" si="17"/>
        <v>728.64999999999986</v>
      </c>
      <c r="L570" s="87" t="s">
        <v>59</v>
      </c>
      <c r="M570" s="87" t="s">
        <v>60</v>
      </c>
      <c r="N570" s="88" t="s">
        <v>74</v>
      </c>
    </row>
    <row r="571" spans="1:14">
      <c r="A571" s="81">
        <v>45705</v>
      </c>
      <c r="B571" s="82" t="s">
        <v>639</v>
      </c>
      <c r="C571" s="82" t="s">
        <v>40</v>
      </c>
      <c r="D571" s="82" t="s">
        <v>27</v>
      </c>
      <c r="E571" s="82" t="s">
        <v>30</v>
      </c>
      <c r="F571" s="83">
        <v>2</v>
      </c>
      <c r="G571" s="84">
        <v>668.47</v>
      </c>
      <c r="H571" s="85">
        <v>0.03</v>
      </c>
      <c r="I571" s="86">
        <f t="shared" si="16"/>
        <v>1296.8317999999999</v>
      </c>
      <c r="J571" s="86">
        <v>855.64</v>
      </c>
      <c r="K571" s="86">
        <f t="shared" si="17"/>
        <v>441.19179999999994</v>
      </c>
      <c r="L571" s="87" t="s">
        <v>63</v>
      </c>
      <c r="M571" s="87" t="s">
        <v>68</v>
      </c>
      <c r="N571" s="88" t="s">
        <v>78</v>
      </c>
    </row>
    <row r="572" spans="1:14">
      <c r="A572" s="81">
        <v>45706</v>
      </c>
      <c r="B572" s="82" t="s">
        <v>640</v>
      </c>
      <c r="C572" s="82" t="s">
        <v>26</v>
      </c>
      <c r="D572" s="82" t="s">
        <v>27</v>
      </c>
      <c r="E572" s="82" t="s">
        <v>30</v>
      </c>
      <c r="F572" s="83">
        <v>4</v>
      </c>
      <c r="G572" s="84">
        <v>651.13</v>
      </c>
      <c r="H572" s="85">
        <v>0.1</v>
      </c>
      <c r="I572" s="86">
        <f t="shared" si="16"/>
        <v>2344.0680000000002</v>
      </c>
      <c r="J572" s="86">
        <v>1666.89</v>
      </c>
      <c r="K572" s="86">
        <f t="shared" si="17"/>
        <v>677.17800000000011</v>
      </c>
      <c r="L572" s="87" t="s">
        <v>67</v>
      </c>
      <c r="M572" s="87" t="s">
        <v>60</v>
      </c>
      <c r="N572" s="88" t="s">
        <v>61</v>
      </c>
    </row>
    <row r="573" spans="1:14">
      <c r="A573" s="81">
        <v>45709</v>
      </c>
      <c r="B573" s="82" t="s">
        <v>641</v>
      </c>
      <c r="C573" s="82" t="s">
        <v>26</v>
      </c>
      <c r="D573" s="82" t="s">
        <v>37</v>
      </c>
      <c r="E573" s="82" t="s">
        <v>47</v>
      </c>
      <c r="F573" s="83">
        <v>2</v>
      </c>
      <c r="G573" s="84">
        <v>137.1</v>
      </c>
      <c r="H573" s="85">
        <v>0.03</v>
      </c>
      <c r="I573" s="86">
        <f t="shared" si="16"/>
        <v>265.97399999999999</v>
      </c>
      <c r="J573" s="86">
        <v>126.13</v>
      </c>
      <c r="K573" s="86">
        <f t="shared" si="17"/>
        <v>139.84399999999999</v>
      </c>
      <c r="L573" s="87" t="s">
        <v>59</v>
      </c>
      <c r="M573" s="87" t="s">
        <v>68</v>
      </c>
      <c r="N573" s="88" t="s">
        <v>61</v>
      </c>
    </row>
    <row r="574" spans="1:14">
      <c r="A574" s="81">
        <v>45710</v>
      </c>
      <c r="B574" s="82" t="s">
        <v>642</v>
      </c>
      <c r="C574" s="82" t="s">
        <v>31</v>
      </c>
      <c r="D574" s="82" t="s">
        <v>37</v>
      </c>
      <c r="E574" s="82" t="s">
        <v>47</v>
      </c>
      <c r="F574" s="83">
        <v>5</v>
      </c>
      <c r="G574" s="84">
        <v>131.72</v>
      </c>
      <c r="H574" s="85">
        <v>0.03</v>
      </c>
      <c r="I574" s="86">
        <f t="shared" si="16"/>
        <v>638.84199999999998</v>
      </c>
      <c r="J574" s="86">
        <v>302.95999999999998</v>
      </c>
      <c r="K574" s="86">
        <f t="shared" si="17"/>
        <v>335.88200000000001</v>
      </c>
      <c r="L574" s="87" t="s">
        <v>59</v>
      </c>
      <c r="M574" s="87" t="s">
        <v>68</v>
      </c>
      <c r="N574" s="88" t="s">
        <v>65</v>
      </c>
    </row>
    <row r="575" spans="1:14">
      <c r="A575" s="81">
        <v>45712</v>
      </c>
      <c r="B575" s="82" t="s">
        <v>643</v>
      </c>
      <c r="C575" s="82" t="s">
        <v>26</v>
      </c>
      <c r="D575" s="82" t="s">
        <v>27</v>
      </c>
      <c r="E575" s="82" t="s">
        <v>30</v>
      </c>
      <c r="F575" s="83">
        <v>6</v>
      </c>
      <c r="G575" s="84">
        <v>687.92</v>
      </c>
      <c r="H575" s="85">
        <v>0.12</v>
      </c>
      <c r="I575" s="86">
        <f t="shared" si="16"/>
        <v>3632.2175999999995</v>
      </c>
      <c r="J575" s="86">
        <v>2641.61</v>
      </c>
      <c r="K575" s="86">
        <f t="shared" si="17"/>
        <v>990.60759999999937</v>
      </c>
      <c r="L575" s="87" t="s">
        <v>63</v>
      </c>
      <c r="M575" s="87" t="s">
        <v>68</v>
      </c>
      <c r="N575" s="88" t="s">
        <v>61</v>
      </c>
    </row>
    <row r="576" spans="1:14">
      <c r="A576" s="81">
        <v>45712</v>
      </c>
      <c r="B576" s="82" t="s">
        <v>644</v>
      </c>
      <c r="C576" s="82" t="s">
        <v>36</v>
      </c>
      <c r="D576" s="82" t="s">
        <v>32</v>
      </c>
      <c r="E576" s="82" t="s">
        <v>46</v>
      </c>
      <c r="F576" s="83">
        <v>7</v>
      </c>
      <c r="G576" s="84">
        <v>108.62</v>
      </c>
      <c r="H576" s="85">
        <v>0.05</v>
      </c>
      <c r="I576" s="86">
        <f t="shared" si="16"/>
        <v>722.32299999999998</v>
      </c>
      <c r="J576" s="86">
        <v>364.96</v>
      </c>
      <c r="K576" s="86">
        <f t="shared" si="17"/>
        <v>357.363</v>
      </c>
      <c r="L576" s="87" t="s">
        <v>67</v>
      </c>
      <c r="M576" s="87" t="s">
        <v>68</v>
      </c>
      <c r="N576" s="88" t="s">
        <v>74</v>
      </c>
    </row>
    <row r="577" spans="1:14">
      <c r="A577" s="81">
        <v>45713</v>
      </c>
      <c r="B577" s="82" t="s">
        <v>645</v>
      </c>
      <c r="C577" s="82" t="s">
        <v>31</v>
      </c>
      <c r="D577" s="82" t="s">
        <v>27</v>
      </c>
      <c r="E577" s="82" t="s">
        <v>35</v>
      </c>
      <c r="F577" s="83">
        <v>8</v>
      </c>
      <c r="G577" s="84">
        <v>378.14</v>
      </c>
      <c r="H577" s="85">
        <v>0.05</v>
      </c>
      <c r="I577" s="86">
        <f t="shared" si="16"/>
        <v>2873.8639999999996</v>
      </c>
      <c r="J577" s="86">
        <v>1815.07</v>
      </c>
      <c r="K577" s="86">
        <f t="shared" si="17"/>
        <v>1058.7939999999996</v>
      </c>
      <c r="L577" s="87" t="s">
        <v>63</v>
      </c>
      <c r="M577" s="87" t="s">
        <v>60</v>
      </c>
      <c r="N577" s="88" t="s">
        <v>71</v>
      </c>
    </row>
    <row r="578" spans="1:14">
      <c r="A578" s="81">
        <v>45714</v>
      </c>
      <c r="B578" s="82" t="s">
        <v>646</v>
      </c>
      <c r="C578" s="82" t="s">
        <v>31</v>
      </c>
      <c r="D578" s="82" t="s">
        <v>27</v>
      </c>
      <c r="E578" s="82" t="s">
        <v>30</v>
      </c>
      <c r="F578" s="83">
        <v>7</v>
      </c>
      <c r="G578" s="84">
        <v>669.44</v>
      </c>
      <c r="H578" s="85">
        <v>0.12</v>
      </c>
      <c r="I578" s="86">
        <f t="shared" ref="I578:I641" si="18">F578*G578*(1-H578)</f>
        <v>4123.7503999999999</v>
      </c>
      <c r="J578" s="86">
        <v>2999.09</v>
      </c>
      <c r="K578" s="86">
        <f t="shared" ref="K578:K641" si="19">I578-J578</f>
        <v>1124.6603999999998</v>
      </c>
      <c r="L578" s="87" t="s">
        <v>59</v>
      </c>
      <c r="M578" s="87" t="s">
        <v>64</v>
      </c>
      <c r="N578" s="88" t="s">
        <v>71</v>
      </c>
    </row>
    <row r="579" spans="1:14">
      <c r="A579" s="81">
        <v>45714</v>
      </c>
      <c r="B579" s="82" t="s">
        <v>647</v>
      </c>
      <c r="C579" s="82" t="s">
        <v>36</v>
      </c>
      <c r="D579" s="82" t="s">
        <v>32</v>
      </c>
      <c r="E579" s="82" t="s">
        <v>39</v>
      </c>
      <c r="F579" s="83">
        <v>3</v>
      </c>
      <c r="G579" s="84">
        <v>461.37</v>
      </c>
      <c r="H579" s="85">
        <v>0.12</v>
      </c>
      <c r="I579" s="86">
        <f t="shared" si="18"/>
        <v>1218.0168000000001</v>
      </c>
      <c r="J579" s="86">
        <v>788.94</v>
      </c>
      <c r="K579" s="86">
        <f t="shared" si="19"/>
        <v>429.07680000000005</v>
      </c>
      <c r="L579" s="87" t="s">
        <v>63</v>
      </c>
      <c r="M579" s="87" t="s">
        <v>60</v>
      </c>
      <c r="N579" s="88" t="s">
        <v>61</v>
      </c>
    </row>
    <row r="580" spans="1:14">
      <c r="A580" s="81">
        <v>45715</v>
      </c>
      <c r="B580" s="82" t="s">
        <v>648</v>
      </c>
      <c r="C580" s="82" t="s">
        <v>40</v>
      </c>
      <c r="D580" s="82" t="s">
        <v>32</v>
      </c>
      <c r="E580" s="82" t="s">
        <v>46</v>
      </c>
      <c r="F580" s="83">
        <v>3</v>
      </c>
      <c r="G580" s="84">
        <v>106.63</v>
      </c>
      <c r="H580" s="85">
        <v>0.12</v>
      </c>
      <c r="I580" s="86">
        <f t="shared" si="18"/>
        <v>281.50319999999999</v>
      </c>
      <c r="J580" s="86">
        <v>153.55000000000001</v>
      </c>
      <c r="K580" s="86">
        <f t="shared" si="19"/>
        <v>127.95319999999998</v>
      </c>
      <c r="L580" s="87" t="s">
        <v>59</v>
      </c>
      <c r="M580" s="87" t="s">
        <v>60</v>
      </c>
      <c r="N580" s="88" t="s">
        <v>71</v>
      </c>
    </row>
    <row r="581" spans="1:14">
      <c r="A581" s="81">
        <v>45716</v>
      </c>
      <c r="B581" s="82" t="s">
        <v>649</v>
      </c>
      <c r="C581" s="82" t="s">
        <v>40</v>
      </c>
      <c r="D581" s="82" t="s">
        <v>27</v>
      </c>
      <c r="E581" s="82" t="s">
        <v>25</v>
      </c>
      <c r="F581" s="83">
        <v>5</v>
      </c>
      <c r="G581" s="84">
        <v>1279.05</v>
      </c>
      <c r="H581" s="85">
        <v>0.08</v>
      </c>
      <c r="I581" s="86">
        <f t="shared" si="18"/>
        <v>5883.63</v>
      </c>
      <c r="J581" s="86">
        <v>4348.7700000000004</v>
      </c>
      <c r="K581" s="86">
        <f t="shared" si="19"/>
        <v>1534.8599999999997</v>
      </c>
      <c r="L581" s="87" t="s">
        <v>63</v>
      </c>
      <c r="M581" s="87" t="s">
        <v>68</v>
      </c>
      <c r="N581" s="88" t="s">
        <v>71</v>
      </c>
    </row>
    <row r="582" spans="1:14">
      <c r="A582" s="81">
        <v>45716</v>
      </c>
      <c r="B582" s="82" t="s">
        <v>650</v>
      </c>
      <c r="C582" s="82" t="s">
        <v>26</v>
      </c>
      <c r="D582" s="82" t="s">
        <v>32</v>
      </c>
      <c r="E582" s="82" t="s">
        <v>39</v>
      </c>
      <c r="F582" s="83">
        <v>4</v>
      </c>
      <c r="G582" s="84">
        <v>489.25</v>
      </c>
      <c r="H582" s="85">
        <v>0.12</v>
      </c>
      <c r="I582" s="86">
        <f t="shared" si="18"/>
        <v>1722.16</v>
      </c>
      <c r="J582" s="86">
        <v>1115.49</v>
      </c>
      <c r="K582" s="86">
        <f t="shared" si="19"/>
        <v>606.67000000000007</v>
      </c>
      <c r="L582" s="87" t="s">
        <v>59</v>
      </c>
      <c r="M582" s="87" t="s">
        <v>64</v>
      </c>
      <c r="N582" s="88" t="s">
        <v>69</v>
      </c>
    </row>
    <row r="583" spans="1:14">
      <c r="A583" s="81">
        <v>45718</v>
      </c>
      <c r="B583" s="82" t="s">
        <v>651</v>
      </c>
      <c r="C583" s="82" t="s">
        <v>40</v>
      </c>
      <c r="D583" s="82" t="s">
        <v>32</v>
      </c>
      <c r="E583" s="82" t="s">
        <v>42</v>
      </c>
      <c r="F583" s="83">
        <v>4</v>
      </c>
      <c r="G583" s="84">
        <v>867.96</v>
      </c>
      <c r="H583" s="85">
        <v>0.1</v>
      </c>
      <c r="I583" s="86">
        <f t="shared" si="18"/>
        <v>3124.6560000000004</v>
      </c>
      <c r="J583" s="86">
        <v>2117.8200000000002</v>
      </c>
      <c r="K583" s="86">
        <f t="shared" si="19"/>
        <v>1006.8360000000002</v>
      </c>
      <c r="L583" s="87" t="s">
        <v>63</v>
      </c>
      <c r="M583" s="87" t="s">
        <v>64</v>
      </c>
      <c r="N583" s="88" t="s">
        <v>74</v>
      </c>
    </row>
    <row r="584" spans="1:14">
      <c r="A584" s="81">
        <v>45718</v>
      </c>
      <c r="B584" s="82" t="s">
        <v>652</v>
      </c>
      <c r="C584" s="82" t="s">
        <v>40</v>
      </c>
      <c r="D584" s="82" t="s">
        <v>32</v>
      </c>
      <c r="E584" s="82" t="s">
        <v>42</v>
      </c>
      <c r="F584" s="83">
        <v>5</v>
      </c>
      <c r="G584" s="84">
        <v>825.44</v>
      </c>
      <c r="H584" s="85">
        <v>0.05</v>
      </c>
      <c r="I584" s="86">
        <f t="shared" si="18"/>
        <v>3920.8400000000006</v>
      </c>
      <c r="J584" s="86">
        <v>2517.59</v>
      </c>
      <c r="K584" s="86">
        <f t="shared" si="19"/>
        <v>1403.2500000000005</v>
      </c>
      <c r="L584" s="87" t="s">
        <v>59</v>
      </c>
      <c r="M584" s="87" t="s">
        <v>60</v>
      </c>
      <c r="N584" s="88" t="s">
        <v>78</v>
      </c>
    </row>
    <row r="585" spans="1:14">
      <c r="A585" s="81">
        <v>45718</v>
      </c>
      <c r="B585" s="82" t="s">
        <v>653</v>
      </c>
      <c r="C585" s="82" t="s">
        <v>31</v>
      </c>
      <c r="D585" s="82" t="s">
        <v>37</v>
      </c>
      <c r="E585" s="82" t="s">
        <v>48</v>
      </c>
      <c r="F585" s="83">
        <v>6</v>
      </c>
      <c r="G585" s="84">
        <v>74.61</v>
      </c>
      <c r="H585" s="85">
        <v>0.08</v>
      </c>
      <c r="I585" s="86">
        <f t="shared" si="18"/>
        <v>411.84719999999999</v>
      </c>
      <c r="J585" s="86">
        <v>188.02</v>
      </c>
      <c r="K585" s="86">
        <f t="shared" si="19"/>
        <v>223.82719999999998</v>
      </c>
      <c r="L585" s="87" t="s">
        <v>63</v>
      </c>
      <c r="M585" s="87" t="s">
        <v>68</v>
      </c>
      <c r="N585" s="88" t="s">
        <v>69</v>
      </c>
    </row>
    <row r="586" spans="1:14">
      <c r="A586" s="81">
        <v>45719</v>
      </c>
      <c r="B586" s="82" t="s">
        <v>654</v>
      </c>
      <c r="C586" s="82" t="s">
        <v>36</v>
      </c>
      <c r="D586" s="82" t="s">
        <v>37</v>
      </c>
      <c r="E586" s="82" t="s">
        <v>47</v>
      </c>
      <c r="F586" s="83">
        <v>3</v>
      </c>
      <c r="G586" s="84">
        <v>127.63</v>
      </c>
      <c r="H586" s="85">
        <v>0.12</v>
      </c>
      <c r="I586" s="86">
        <f t="shared" si="18"/>
        <v>336.94319999999999</v>
      </c>
      <c r="J586" s="86">
        <v>176.13</v>
      </c>
      <c r="K586" s="86">
        <f t="shared" si="19"/>
        <v>160.81319999999999</v>
      </c>
      <c r="L586" s="87" t="s">
        <v>63</v>
      </c>
      <c r="M586" s="87" t="s">
        <v>60</v>
      </c>
      <c r="N586" s="88" t="s">
        <v>65</v>
      </c>
    </row>
    <row r="587" spans="1:14">
      <c r="A587" s="81">
        <v>45720</v>
      </c>
      <c r="B587" s="82" t="s">
        <v>655</v>
      </c>
      <c r="C587" s="82" t="s">
        <v>31</v>
      </c>
      <c r="D587" s="82" t="s">
        <v>27</v>
      </c>
      <c r="E587" s="82" t="s">
        <v>30</v>
      </c>
      <c r="F587" s="83">
        <v>7</v>
      </c>
      <c r="G587" s="84">
        <v>667.81</v>
      </c>
      <c r="H587" s="85">
        <v>0.05</v>
      </c>
      <c r="I587" s="86">
        <f t="shared" si="18"/>
        <v>4440.9364999999998</v>
      </c>
      <c r="J587" s="86">
        <v>2991.79</v>
      </c>
      <c r="K587" s="86">
        <f t="shared" si="19"/>
        <v>1449.1464999999998</v>
      </c>
      <c r="L587" s="87" t="s">
        <v>59</v>
      </c>
      <c r="M587" s="87" t="s">
        <v>64</v>
      </c>
      <c r="N587" s="88" t="s">
        <v>65</v>
      </c>
    </row>
    <row r="588" spans="1:14">
      <c r="A588" s="81">
        <v>45721</v>
      </c>
      <c r="B588" s="82" t="s">
        <v>656</v>
      </c>
      <c r="C588" s="82" t="s">
        <v>26</v>
      </c>
      <c r="D588" s="82" t="s">
        <v>27</v>
      </c>
      <c r="E588" s="82" t="s">
        <v>25</v>
      </c>
      <c r="F588" s="83">
        <v>7</v>
      </c>
      <c r="G588" s="84">
        <v>1349.49</v>
      </c>
      <c r="H588" s="85">
        <v>0.03</v>
      </c>
      <c r="I588" s="86">
        <f t="shared" si="18"/>
        <v>9163.0370999999996</v>
      </c>
      <c r="J588" s="86">
        <v>6423.57</v>
      </c>
      <c r="K588" s="86">
        <f t="shared" si="19"/>
        <v>2739.4670999999998</v>
      </c>
      <c r="L588" s="87" t="s">
        <v>67</v>
      </c>
      <c r="M588" s="87" t="s">
        <v>64</v>
      </c>
      <c r="N588" s="88" t="s">
        <v>65</v>
      </c>
    </row>
    <row r="589" spans="1:14">
      <c r="A589" s="81">
        <v>45721</v>
      </c>
      <c r="B589" s="82" t="s">
        <v>657</v>
      </c>
      <c r="C589" s="82" t="s">
        <v>26</v>
      </c>
      <c r="D589" s="82" t="s">
        <v>32</v>
      </c>
      <c r="E589" s="82" t="s">
        <v>46</v>
      </c>
      <c r="F589" s="83">
        <v>4</v>
      </c>
      <c r="G589" s="84">
        <v>102.5</v>
      </c>
      <c r="H589" s="85">
        <v>0</v>
      </c>
      <c r="I589" s="86">
        <f t="shared" si="18"/>
        <v>410</v>
      </c>
      <c r="J589" s="86">
        <v>196.8</v>
      </c>
      <c r="K589" s="86">
        <f t="shared" si="19"/>
        <v>213.2</v>
      </c>
      <c r="L589" s="87" t="s">
        <v>59</v>
      </c>
      <c r="M589" s="87" t="s">
        <v>64</v>
      </c>
      <c r="N589" s="88" t="s">
        <v>65</v>
      </c>
    </row>
    <row r="590" spans="1:14">
      <c r="A590" s="81">
        <v>45721</v>
      </c>
      <c r="B590" s="82" t="s">
        <v>658</v>
      </c>
      <c r="C590" s="82" t="s">
        <v>31</v>
      </c>
      <c r="D590" s="82" t="s">
        <v>32</v>
      </c>
      <c r="E590" s="82" t="s">
        <v>46</v>
      </c>
      <c r="F590" s="83">
        <v>10</v>
      </c>
      <c r="G590" s="84">
        <v>108.61</v>
      </c>
      <c r="H590" s="85">
        <v>0.05</v>
      </c>
      <c r="I590" s="86">
        <f t="shared" si="18"/>
        <v>1031.7949999999998</v>
      </c>
      <c r="J590" s="86">
        <v>521.33000000000004</v>
      </c>
      <c r="K590" s="86">
        <f t="shared" si="19"/>
        <v>510.4649999999998</v>
      </c>
      <c r="L590" s="87" t="s">
        <v>67</v>
      </c>
      <c r="M590" s="87" t="s">
        <v>68</v>
      </c>
      <c r="N590" s="88" t="s">
        <v>65</v>
      </c>
    </row>
    <row r="591" spans="1:14">
      <c r="A591" s="81">
        <v>45722</v>
      </c>
      <c r="B591" s="82" t="s">
        <v>659</v>
      </c>
      <c r="C591" s="82" t="s">
        <v>26</v>
      </c>
      <c r="D591" s="82" t="s">
        <v>37</v>
      </c>
      <c r="E591" s="82" t="s">
        <v>48</v>
      </c>
      <c r="F591" s="83">
        <v>13</v>
      </c>
      <c r="G591" s="84">
        <v>77.25</v>
      </c>
      <c r="H591" s="85">
        <v>0.12</v>
      </c>
      <c r="I591" s="86">
        <f t="shared" si="18"/>
        <v>883.74</v>
      </c>
      <c r="J591" s="86">
        <v>421.79</v>
      </c>
      <c r="K591" s="86">
        <f t="shared" si="19"/>
        <v>461.95</v>
      </c>
      <c r="L591" s="87" t="s">
        <v>67</v>
      </c>
      <c r="M591" s="87" t="s">
        <v>68</v>
      </c>
      <c r="N591" s="88" t="s">
        <v>78</v>
      </c>
    </row>
    <row r="592" spans="1:14">
      <c r="A592" s="81">
        <v>45723</v>
      </c>
      <c r="B592" s="82" t="s">
        <v>660</v>
      </c>
      <c r="C592" s="82" t="s">
        <v>26</v>
      </c>
      <c r="D592" s="82" t="s">
        <v>27</v>
      </c>
      <c r="E592" s="82" t="s">
        <v>25</v>
      </c>
      <c r="F592" s="83">
        <v>8</v>
      </c>
      <c r="G592" s="84">
        <v>1316.98</v>
      </c>
      <c r="H592" s="85">
        <v>0.08</v>
      </c>
      <c r="I592" s="86">
        <f t="shared" si="18"/>
        <v>9692.9728000000014</v>
      </c>
      <c r="J592" s="86">
        <v>7164.37</v>
      </c>
      <c r="K592" s="86">
        <f t="shared" si="19"/>
        <v>2528.6028000000015</v>
      </c>
      <c r="L592" s="87" t="s">
        <v>67</v>
      </c>
      <c r="M592" s="87" t="s">
        <v>60</v>
      </c>
      <c r="N592" s="88" t="s">
        <v>61</v>
      </c>
    </row>
    <row r="593" spans="1:14">
      <c r="A593" s="81">
        <v>45723</v>
      </c>
      <c r="B593" s="82" t="s">
        <v>661</v>
      </c>
      <c r="C593" s="82" t="s">
        <v>40</v>
      </c>
      <c r="D593" s="82" t="s">
        <v>37</v>
      </c>
      <c r="E593" s="82" t="s">
        <v>48</v>
      </c>
      <c r="F593" s="83">
        <v>3</v>
      </c>
      <c r="G593" s="84">
        <v>77.7</v>
      </c>
      <c r="H593" s="85">
        <v>0.05</v>
      </c>
      <c r="I593" s="86">
        <f t="shared" si="18"/>
        <v>221.44500000000002</v>
      </c>
      <c r="J593" s="86">
        <v>97.9</v>
      </c>
      <c r="K593" s="86">
        <f t="shared" si="19"/>
        <v>123.54500000000002</v>
      </c>
      <c r="L593" s="87" t="s">
        <v>67</v>
      </c>
      <c r="M593" s="87" t="s">
        <v>64</v>
      </c>
      <c r="N593" s="88" t="s">
        <v>69</v>
      </c>
    </row>
    <row r="594" spans="1:14">
      <c r="A594" s="81">
        <v>45724</v>
      </c>
      <c r="B594" s="82" t="s">
        <v>662</v>
      </c>
      <c r="C594" s="82" t="s">
        <v>26</v>
      </c>
      <c r="D594" s="82" t="s">
        <v>37</v>
      </c>
      <c r="E594" s="82" t="s">
        <v>48</v>
      </c>
      <c r="F594" s="83">
        <v>9</v>
      </c>
      <c r="G594" s="84">
        <v>77.08</v>
      </c>
      <c r="H594" s="85">
        <v>0.08</v>
      </c>
      <c r="I594" s="86">
        <f t="shared" si="18"/>
        <v>638.22240000000011</v>
      </c>
      <c r="J594" s="86">
        <v>291.36</v>
      </c>
      <c r="K594" s="86">
        <f t="shared" si="19"/>
        <v>346.86240000000009</v>
      </c>
      <c r="L594" s="87" t="s">
        <v>67</v>
      </c>
      <c r="M594" s="87" t="s">
        <v>60</v>
      </c>
      <c r="N594" s="88" t="s">
        <v>69</v>
      </c>
    </row>
    <row r="595" spans="1:14">
      <c r="A595" s="81">
        <v>45725</v>
      </c>
      <c r="B595" s="82" t="s">
        <v>663</v>
      </c>
      <c r="C595" s="82" t="s">
        <v>36</v>
      </c>
      <c r="D595" s="82" t="s">
        <v>32</v>
      </c>
      <c r="E595" s="82" t="s">
        <v>42</v>
      </c>
      <c r="F595" s="83">
        <v>7</v>
      </c>
      <c r="G595" s="84">
        <v>852.62</v>
      </c>
      <c r="H595" s="85">
        <v>0</v>
      </c>
      <c r="I595" s="86">
        <f t="shared" si="18"/>
        <v>5968.34</v>
      </c>
      <c r="J595" s="86">
        <v>3640.69</v>
      </c>
      <c r="K595" s="86">
        <f t="shared" si="19"/>
        <v>2327.65</v>
      </c>
      <c r="L595" s="87" t="s">
        <v>59</v>
      </c>
      <c r="M595" s="87" t="s">
        <v>60</v>
      </c>
      <c r="N595" s="88" t="s">
        <v>65</v>
      </c>
    </row>
    <row r="596" spans="1:14">
      <c r="A596" s="81">
        <v>45727</v>
      </c>
      <c r="B596" s="82" t="s">
        <v>664</v>
      </c>
      <c r="C596" s="82" t="s">
        <v>31</v>
      </c>
      <c r="D596" s="82" t="s">
        <v>27</v>
      </c>
      <c r="E596" s="82" t="s">
        <v>25</v>
      </c>
      <c r="F596" s="83">
        <v>8</v>
      </c>
      <c r="G596" s="84">
        <v>1324.06</v>
      </c>
      <c r="H596" s="85">
        <v>0.12</v>
      </c>
      <c r="I596" s="86">
        <f t="shared" si="18"/>
        <v>9321.3824000000004</v>
      </c>
      <c r="J596" s="86">
        <v>7202.89</v>
      </c>
      <c r="K596" s="86">
        <f t="shared" si="19"/>
        <v>2118.4924000000001</v>
      </c>
      <c r="L596" s="87" t="s">
        <v>67</v>
      </c>
      <c r="M596" s="87" t="s">
        <v>64</v>
      </c>
      <c r="N596" s="88" t="s">
        <v>74</v>
      </c>
    </row>
    <row r="597" spans="1:14">
      <c r="A597" s="81">
        <v>45728</v>
      </c>
      <c r="B597" s="82" t="s">
        <v>665</v>
      </c>
      <c r="C597" s="82" t="s">
        <v>31</v>
      </c>
      <c r="D597" s="82" t="s">
        <v>32</v>
      </c>
      <c r="E597" s="82" t="s">
        <v>42</v>
      </c>
      <c r="F597" s="83">
        <v>12</v>
      </c>
      <c r="G597" s="84">
        <v>804.5</v>
      </c>
      <c r="H597" s="85">
        <v>0</v>
      </c>
      <c r="I597" s="86">
        <f t="shared" si="18"/>
        <v>9654</v>
      </c>
      <c r="J597" s="86">
        <v>5888.94</v>
      </c>
      <c r="K597" s="86">
        <f t="shared" si="19"/>
        <v>3765.0600000000004</v>
      </c>
      <c r="L597" s="87" t="s">
        <v>59</v>
      </c>
      <c r="M597" s="87" t="s">
        <v>68</v>
      </c>
      <c r="N597" s="88" t="s">
        <v>74</v>
      </c>
    </row>
    <row r="598" spans="1:14">
      <c r="A598" s="81">
        <v>45729</v>
      </c>
      <c r="B598" s="82" t="s">
        <v>666</v>
      </c>
      <c r="C598" s="82" t="s">
        <v>31</v>
      </c>
      <c r="D598" s="82" t="s">
        <v>37</v>
      </c>
      <c r="E598" s="82" t="s">
        <v>47</v>
      </c>
      <c r="F598" s="83">
        <v>2</v>
      </c>
      <c r="G598" s="84">
        <v>135.03</v>
      </c>
      <c r="H598" s="85">
        <v>0.08</v>
      </c>
      <c r="I598" s="86">
        <f t="shared" si="18"/>
        <v>248.45520000000002</v>
      </c>
      <c r="J598" s="86">
        <v>124.23</v>
      </c>
      <c r="K598" s="86">
        <f t="shared" si="19"/>
        <v>124.22520000000002</v>
      </c>
      <c r="L598" s="87" t="s">
        <v>59</v>
      </c>
      <c r="M598" s="87" t="s">
        <v>64</v>
      </c>
      <c r="N598" s="88" t="s">
        <v>71</v>
      </c>
    </row>
    <row r="599" spans="1:14">
      <c r="A599" s="81">
        <v>45729</v>
      </c>
      <c r="B599" s="82" t="s">
        <v>667</v>
      </c>
      <c r="C599" s="82" t="s">
        <v>36</v>
      </c>
      <c r="D599" s="82" t="s">
        <v>27</v>
      </c>
      <c r="E599" s="82" t="s">
        <v>30</v>
      </c>
      <c r="F599" s="83">
        <v>2</v>
      </c>
      <c r="G599" s="84">
        <v>686.74</v>
      </c>
      <c r="H599" s="85">
        <v>0.12</v>
      </c>
      <c r="I599" s="86">
        <f t="shared" si="18"/>
        <v>1208.6623999999999</v>
      </c>
      <c r="J599" s="86">
        <v>879.03</v>
      </c>
      <c r="K599" s="86">
        <f t="shared" si="19"/>
        <v>329.63239999999996</v>
      </c>
      <c r="L599" s="87" t="s">
        <v>59</v>
      </c>
      <c r="M599" s="87" t="s">
        <v>64</v>
      </c>
      <c r="N599" s="88" t="s">
        <v>74</v>
      </c>
    </row>
    <row r="600" spans="1:14">
      <c r="A600" s="81">
        <v>45730</v>
      </c>
      <c r="B600" s="82" t="s">
        <v>668</v>
      </c>
      <c r="C600" s="82" t="s">
        <v>40</v>
      </c>
      <c r="D600" s="82" t="s">
        <v>27</v>
      </c>
      <c r="E600" s="82" t="s">
        <v>30</v>
      </c>
      <c r="F600" s="83">
        <v>8</v>
      </c>
      <c r="G600" s="84">
        <v>713.06</v>
      </c>
      <c r="H600" s="85">
        <v>0.1</v>
      </c>
      <c r="I600" s="86">
        <f t="shared" si="18"/>
        <v>5134.0320000000002</v>
      </c>
      <c r="J600" s="86">
        <v>3650.87</v>
      </c>
      <c r="K600" s="86">
        <f t="shared" si="19"/>
        <v>1483.1620000000003</v>
      </c>
      <c r="L600" s="87" t="s">
        <v>67</v>
      </c>
      <c r="M600" s="87" t="s">
        <v>64</v>
      </c>
      <c r="N600" s="88" t="s">
        <v>78</v>
      </c>
    </row>
    <row r="601" spans="1:14">
      <c r="A601" s="81">
        <v>45730</v>
      </c>
      <c r="B601" s="82" t="s">
        <v>669</v>
      </c>
      <c r="C601" s="82" t="s">
        <v>40</v>
      </c>
      <c r="D601" s="82" t="s">
        <v>27</v>
      </c>
      <c r="E601" s="82" t="s">
        <v>35</v>
      </c>
      <c r="F601" s="83">
        <v>1</v>
      </c>
      <c r="G601" s="84">
        <v>380.77</v>
      </c>
      <c r="H601" s="85">
        <v>0.1</v>
      </c>
      <c r="I601" s="86">
        <f t="shared" si="18"/>
        <v>342.69299999999998</v>
      </c>
      <c r="J601" s="86">
        <v>228.46</v>
      </c>
      <c r="K601" s="86">
        <f t="shared" si="19"/>
        <v>114.23299999999998</v>
      </c>
      <c r="L601" s="87" t="s">
        <v>67</v>
      </c>
      <c r="M601" s="87" t="s">
        <v>64</v>
      </c>
      <c r="N601" s="88" t="s">
        <v>71</v>
      </c>
    </row>
    <row r="602" spans="1:14">
      <c r="A602" s="81">
        <v>45730</v>
      </c>
      <c r="B602" s="82" t="s">
        <v>670</v>
      </c>
      <c r="C602" s="82" t="s">
        <v>31</v>
      </c>
      <c r="D602" s="82" t="s">
        <v>27</v>
      </c>
      <c r="E602" s="82" t="s">
        <v>35</v>
      </c>
      <c r="F602" s="83">
        <v>6</v>
      </c>
      <c r="G602" s="84">
        <v>388.15</v>
      </c>
      <c r="H602" s="85">
        <v>0.12</v>
      </c>
      <c r="I602" s="86">
        <f t="shared" si="18"/>
        <v>2049.4319999999998</v>
      </c>
      <c r="J602" s="86">
        <v>1397.34</v>
      </c>
      <c r="K602" s="86">
        <f t="shared" si="19"/>
        <v>652.09199999999987</v>
      </c>
      <c r="L602" s="87" t="s">
        <v>67</v>
      </c>
      <c r="M602" s="87" t="s">
        <v>68</v>
      </c>
      <c r="N602" s="88" t="s">
        <v>65</v>
      </c>
    </row>
    <row r="603" spans="1:14">
      <c r="A603" s="81">
        <v>45731</v>
      </c>
      <c r="B603" s="82" t="s">
        <v>671</v>
      </c>
      <c r="C603" s="82" t="s">
        <v>26</v>
      </c>
      <c r="D603" s="82" t="s">
        <v>32</v>
      </c>
      <c r="E603" s="82" t="s">
        <v>42</v>
      </c>
      <c r="F603" s="83">
        <v>8</v>
      </c>
      <c r="G603" s="84">
        <v>833.63</v>
      </c>
      <c r="H603" s="85">
        <v>0.05</v>
      </c>
      <c r="I603" s="86">
        <f t="shared" si="18"/>
        <v>6335.5879999999997</v>
      </c>
      <c r="J603" s="86">
        <v>4068.11</v>
      </c>
      <c r="K603" s="86">
        <f t="shared" si="19"/>
        <v>2267.4779999999996</v>
      </c>
      <c r="L603" s="87" t="s">
        <v>63</v>
      </c>
      <c r="M603" s="87" t="s">
        <v>64</v>
      </c>
      <c r="N603" s="88" t="s">
        <v>61</v>
      </c>
    </row>
    <row r="604" spans="1:14">
      <c r="A604" s="81">
        <v>45731</v>
      </c>
      <c r="B604" s="82" t="s">
        <v>672</v>
      </c>
      <c r="C604" s="82" t="s">
        <v>26</v>
      </c>
      <c r="D604" s="82" t="s">
        <v>27</v>
      </c>
      <c r="E604" s="82" t="s">
        <v>35</v>
      </c>
      <c r="F604" s="83">
        <v>4</v>
      </c>
      <c r="G604" s="84">
        <v>400.52</v>
      </c>
      <c r="H604" s="85">
        <v>0.05</v>
      </c>
      <c r="I604" s="86">
        <f t="shared" si="18"/>
        <v>1521.9759999999999</v>
      </c>
      <c r="J604" s="86">
        <v>961.25</v>
      </c>
      <c r="K604" s="86">
        <f t="shared" si="19"/>
        <v>560.72599999999989</v>
      </c>
      <c r="L604" s="87" t="s">
        <v>59</v>
      </c>
      <c r="M604" s="87" t="s">
        <v>60</v>
      </c>
      <c r="N604" s="88" t="s">
        <v>78</v>
      </c>
    </row>
    <row r="605" spans="1:14">
      <c r="A605" s="81">
        <v>45731</v>
      </c>
      <c r="B605" s="82" t="s">
        <v>673</v>
      </c>
      <c r="C605" s="82" t="s">
        <v>36</v>
      </c>
      <c r="D605" s="82" t="s">
        <v>27</v>
      </c>
      <c r="E605" s="82" t="s">
        <v>30</v>
      </c>
      <c r="F605" s="83">
        <v>7</v>
      </c>
      <c r="G605" s="84">
        <v>674.17</v>
      </c>
      <c r="H605" s="85">
        <v>0.12</v>
      </c>
      <c r="I605" s="86">
        <f t="shared" si="18"/>
        <v>4152.8872000000001</v>
      </c>
      <c r="J605" s="86">
        <v>3020.28</v>
      </c>
      <c r="K605" s="86">
        <f t="shared" si="19"/>
        <v>1132.6071999999999</v>
      </c>
      <c r="L605" s="87" t="s">
        <v>59</v>
      </c>
      <c r="M605" s="87" t="s">
        <v>60</v>
      </c>
      <c r="N605" s="88" t="s">
        <v>61</v>
      </c>
    </row>
    <row r="606" spans="1:14">
      <c r="A606" s="81">
        <v>45732</v>
      </c>
      <c r="B606" s="82" t="s">
        <v>674</v>
      </c>
      <c r="C606" s="82" t="s">
        <v>40</v>
      </c>
      <c r="D606" s="82" t="s">
        <v>27</v>
      </c>
      <c r="E606" s="82" t="s">
        <v>35</v>
      </c>
      <c r="F606" s="83">
        <v>5</v>
      </c>
      <c r="G606" s="84">
        <v>385.54</v>
      </c>
      <c r="H606" s="85">
        <v>0.08</v>
      </c>
      <c r="I606" s="86">
        <f t="shared" si="18"/>
        <v>1773.4840000000002</v>
      </c>
      <c r="J606" s="86">
        <v>1156.6199999999999</v>
      </c>
      <c r="K606" s="86">
        <f t="shared" si="19"/>
        <v>616.86400000000026</v>
      </c>
      <c r="L606" s="87" t="s">
        <v>67</v>
      </c>
      <c r="M606" s="87" t="s">
        <v>60</v>
      </c>
      <c r="N606" s="88" t="s">
        <v>71</v>
      </c>
    </row>
    <row r="607" spans="1:14">
      <c r="A607" s="81">
        <v>45733</v>
      </c>
      <c r="B607" s="82" t="s">
        <v>675</v>
      </c>
      <c r="C607" s="82" t="s">
        <v>31</v>
      </c>
      <c r="D607" s="82" t="s">
        <v>37</v>
      </c>
      <c r="E607" s="82" t="s">
        <v>47</v>
      </c>
      <c r="F607" s="83">
        <v>4</v>
      </c>
      <c r="G607" s="84">
        <v>132.21</v>
      </c>
      <c r="H607" s="85">
        <v>0.03</v>
      </c>
      <c r="I607" s="86">
        <f t="shared" si="18"/>
        <v>512.97480000000007</v>
      </c>
      <c r="J607" s="86">
        <v>243.27</v>
      </c>
      <c r="K607" s="86">
        <f t="shared" si="19"/>
        <v>269.70480000000009</v>
      </c>
      <c r="L607" s="87" t="s">
        <v>63</v>
      </c>
      <c r="M607" s="87" t="s">
        <v>60</v>
      </c>
      <c r="N607" s="88" t="s">
        <v>61</v>
      </c>
    </row>
    <row r="608" spans="1:14">
      <c r="A608" s="81">
        <v>45734</v>
      </c>
      <c r="B608" s="82" t="s">
        <v>676</v>
      </c>
      <c r="C608" s="82" t="s">
        <v>40</v>
      </c>
      <c r="D608" s="82" t="s">
        <v>37</v>
      </c>
      <c r="E608" s="82" t="s">
        <v>48</v>
      </c>
      <c r="F608" s="83">
        <v>13</v>
      </c>
      <c r="G608" s="84">
        <v>74.430000000000007</v>
      </c>
      <c r="H608" s="85">
        <v>0.1</v>
      </c>
      <c r="I608" s="86">
        <f t="shared" si="18"/>
        <v>870.83100000000013</v>
      </c>
      <c r="J608" s="86">
        <v>406.39</v>
      </c>
      <c r="K608" s="86">
        <f t="shared" si="19"/>
        <v>464.44100000000014</v>
      </c>
      <c r="L608" s="87" t="s">
        <v>67</v>
      </c>
      <c r="M608" s="87" t="s">
        <v>68</v>
      </c>
      <c r="N608" s="88" t="s">
        <v>71</v>
      </c>
    </row>
    <row r="609" spans="1:14">
      <c r="A609" s="81">
        <v>45736</v>
      </c>
      <c r="B609" s="82" t="s">
        <v>677</v>
      </c>
      <c r="C609" s="82" t="s">
        <v>31</v>
      </c>
      <c r="D609" s="82" t="s">
        <v>27</v>
      </c>
      <c r="E609" s="82" t="s">
        <v>30</v>
      </c>
      <c r="F609" s="83">
        <v>2</v>
      </c>
      <c r="G609" s="84">
        <v>657.82</v>
      </c>
      <c r="H609" s="85">
        <v>0.12</v>
      </c>
      <c r="I609" s="86">
        <f t="shared" si="18"/>
        <v>1157.7632000000001</v>
      </c>
      <c r="J609" s="86">
        <v>842.01</v>
      </c>
      <c r="K609" s="86">
        <f t="shared" si="19"/>
        <v>315.75320000000011</v>
      </c>
      <c r="L609" s="87" t="s">
        <v>63</v>
      </c>
      <c r="M609" s="87" t="s">
        <v>60</v>
      </c>
      <c r="N609" s="88" t="s">
        <v>74</v>
      </c>
    </row>
    <row r="610" spans="1:14">
      <c r="A610" s="81">
        <v>45736</v>
      </c>
      <c r="B610" s="82" t="s">
        <v>678</v>
      </c>
      <c r="C610" s="82" t="s">
        <v>26</v>
      </c>
      <c r="D610" s="82" t="s">
        <v>27</v>
      </c>
      <c r="E610" s="82" t="s">
        <v>35</v>
      </c>
      <c r="F610" s="83">
        <v>13</v>
      </c>
      <c r="G610" s="84">
        <v>385.15</v>
      </c>
      <c r="H610" s="85">
        <v>0</v>
      </c>
      <c r="I610" s="86">
        <f t="shared" si="18"/>
        <v>5006.95</v>
      </c>
      <c r="J610" s="86">
        <v>3004.17</v>
      </c>
      <c r="K610" s="86">
        <f t="shared" si="19"/>
        <v>2002.7799999999997</v>
      </c>
      <c r="L610" s="87" t="s">
        <v>59</v>
      </c>
      <c r="M610" s="87" t="s">
        <v>68</v>
      </c>
      <c r="N610" s="88" t="s">
        <v>69</v>
      </c>
    </row>
    <row r="611" spans="1:14">
      <c r="A611" s="81">
        <v>45736</v>
      </c>
      <c r="B611" s="82" t="s">
        <v>679</v>
      </c>
      <c r="C611" s="82" t="s">
        <v>36</v>
      </c>
      <c r="D611" s="82" t="s">
        <v>32</v>
      </c>
      <c r="E611" s="82" t="s">
        <v>42</v>
      </c>
      <c r="F611" s="83">
        <v>13</v>
      </c>
      <c r="G611" s="84">
        <v>854.5</v>
      </c>
      <c r="H611" s="85">
        <v>0.08</v>
      </c>
      <c r="I611" s="86">
        <f t="shared" si="18"/>
        <v>10219.82</v>
      </c>
      <c r="J611" s="86">
        <v>6776.19</v>
      </c>
      <c r="K611" s="86">
        <f t="shared" si="19"/>
        <v>3443.63</v>
      </c>
      <c r="L611" s="87" t="s">
        <v>63</v>
      </c>
      <c r="M611" s="87" t="s">
        <v>68</v>
      </c>
      <c r="N611" s="88" t="s">
        <v>71</v>
      </c>
    </row>
    <row r="612" spans="1:14">
      <c r="A612" s="81">
        <v>45736</v>
      </c>
      <c r="B612" s="82" t="s">
        <v>680</v>
      </c>
      <c r="C612" s="82" t="s">
        <v>31</v>
      </c>
      <c r="D612" s="82" t="s">
        <v>37</v>
      </c>
      <c r="E612" s="82" t="s">
        <v>47</v>
      </c>
      <c r="F612" s="83">
        <v>2</v>
      </c>
      <c r="G612" s="84">
        <v>128.91</v>
      </c>
      <c r="H612" s="85">
        <v>0</v>
      </c>
      <c r="I612" s="86">
        <f t="shared" si="18"/>
        <v>257.82</v>
      </c>
      <c r="J612" s="86">
        <v>118.6</v>
      </c>
      <c r="K612" s="86">
        <f t="shared" si="19"/>
        <v>139.22</v>
      </c>
      <c r="L612" s="87" t="s">
        <v>67</v>
      </c>
      <c r="M612" s="87" t="s">
        <v>60</v>
      </c>
      <c r="N612" s="88" t="s">
        <v>71</v>
      </c>
    </row>
    <row r="613" spans="1:14">
      <c r="A613" s="81">
        <v>45737</v>
      </c>
      <c r="B613" s="82" t="s">
        <v>681</v>
      </c>
      <c r="C613" s="82" t="s">
        <v>36</v>
      </c>
      <c r="D613" s="82" t="s">
        <v>32</v>
      </c>
      <c r="E613" s="82" t="s">
        <v>46</v>
      </c>
      <c r="F613" s="83">
        <v>2</v>
      </c>
      <c r="G613" s="84">
        <v>106.14</v>
      </c>
      <c r="H613" s="85">
        <v>0.08</v>
      </c>
      <c r="I613" s="86">
        <f t="shared" si="18"/>
        <v>195.29760000000002</v>
      </c>
      <c r="J613" s="86">
        <v>101.89</v>
      </c>
      <c r="K613" s="86">
        <f t="shared" si="19"/>
        <v>93.407600000000016</v>
      </c>
      <c r="L613" s="87" t="s">
        <v>59</v>
      </c>
      <c r="M613" s="87" t="s">
        <v>64</v>
      </c>
      <c r="N613" s="88" t="s">
        <v>61</v>
      </c>
    </row>
    <row r="614" spans="1:14">
      <c r="A614" s="81">
        <v>45737</v>
      </c>
      <c r="B614" s="82" t="s">
        <v>682</v>
      </c>
      <c r="C614" s="82" t="s">
        <v>26</v>
      </c>
      <c r="D614" s="82" t="s">
        <v>32</v>
      </c>
      <c r="E614" s="82" t="s">
        <v>39</v>
      </c>
      <c r="F614" s="83">
        <v>3</v>
      </c>
      <c r="G614" s="84">
        <v>473.08</v>
      </c>
      <c r="H614" s="85">
        <v>0.12</v>
      </c>
      <c r="I614" s="86">
        <f t="shared" si="18"/>
        <v>1248.9312</v>
      </c>
      <c r="J614" s="86">
        <v>808.97</v>
      </c>
      <c r="K614" s="86">
        <f t="shared" si="19"/>
        <v>439.96119999999996</v>
      </c>
      <c r="L614" s="87" t="s">
        <v>67</v>
      </c>
      <c r="M614" s="87" t="s">
        <v>64</v>
      </c>
      <c r="N614" s="88" t="s">
        <v>69</v>
      </c>
    </row>
    <row r="615" spans="1:14">
      <c r="A615" s="81">
        <v>45737</v>
      </c>
      <c r="B615" s="82" t="s">
        <v>683</v>
      </c>
      <c r="C615" s="82" t="s">
        <v>40</v>
      </c>
      <c r="D615" s="82" t="s">
        <v>27</v>
      </c>
      <c r="E615" s="82" t="s">
        <v>35</v>
      </c>
      <c r="F615" s="83">
        <v>6</v>
      </c>
      <c r="G615" s="84">
        <v>410.99</v>
      </c>
      <c r="H615" s="85">
        <v>0</v>
      </c>
      <c r="I615" s="86">
        <f t="shared" si="18"/>
        <v>2465.94</v>
      </c>
      <c r="J615" s="86">
        <v>1479.56</v>
      </c>
      <c r="K615" s="86">
        <f t="shared" si="19"/>
        <v>986.38000000000011</v>
      </c>
      <c r="L615" s="87" t="s">
        <v>67</v>
      </c>
      <c r="M615" s="87" t="s">
        <v>64</v>
      </c>
      <c r="N615" s="88" t="s">
        <v>61</v>
      </c>
    </row>
    <row r="616" spans="1:14">
      <c r="A616" s="81">
        <v>45738</v>
      </c>
      <c r="B616" s="82" t="s">
        <v>684</v>
      </c>
      <c r="C616" s="82" t="s">
        <v>40</v>
      </c>
      <c r="D616" s="82" t="s">
        <v>32</v>
      </c>
      <c r="E616" s="82" t="s">
        <v>39</v>
      </c>
      <c r="F616" s="83">
        <v>9</v>
      </c>
      <c r="G616" s="84">
        <v>486.39</v>
      </c>
      <c r="H616" s="85">
        <v>0.03</v>
      </c>
      <c r="I616" s="86">
        <f t="shared" si="18"/>
        <v>4246.1846999999998</v>
      </c>
      <c r="J616" s="86">
        <v>2495.1799999999998</v>
      </c>
      <c r="K616" s="86">
        <f t="shared" si="19"/>
        <v>1751.0047</v>
      </c>
      <c r="L616" s="87" t="s">
        <v>63</v>
      </c>
      <c r="M616" s="87" t="s">
        <v>64</v>
      </c>
      <c r="N616" s="88" t="s">
        <v>71</v>
      </c>
    </row>
    <row r="617" spans="1:14">
      <c r="A617" s="81">
        <v>45739</v>
      </c>
      <c r="B617" s="82" t="s">
        <v>685</v>
      </c>
      <c r="C617" s="82" t="s">
        <v>36</v>
      </c>
      <c r="D617" s="82" t="s">
        <v>37</v>
      </c>
      <c r="E617" s="82" t="s">
        <v>47</v>
      </c>
      <c r="F617" s="83">
        <v>2</v>
      </c>
      <c r="G617" s="84">
        <v>133.11000000000001</v>
      </c>
      <c r="H617" s="85">
        <v>0.12</v>
      </c>
      <c r="I617" s="86">
        <f t="shared" si="18"/>
        <v>234.27360000000002</v>
      </c>
      <c r="J617" s="86">
        <v>122.46</v>
      </c>
      <c r="K617" s="86">
        <f t="shared" si="19"/>
        <v>111.81360000000002</v>
      </c>
      <c r="L617" s="87" t="s">
        <v>63</v>
      </c>
      <c r="M617" s="87" t="s">
        <v>64</v>
      </c>
      <c r="N617" s="88" t="s">
        <v>74</v>
      </c>
    </row>
    <row r="618" spans="1:14">
      <c r="A618" s="81">
        <v>45739</v>
      </c>
      <c r="B618" s="82" t="s">
        <v>686</v>
      </c>
      <c r="C618" s="82" t="s">
        <v>31</v>
      </c>
      <c r="D618" s="82" t="s">
        <v>27</v>
      </c>
      <c r="E618" s="82" t="s">
        <v>25</v>
      </c>
      <c r="F618" s="83">
        <v>5</v>
      </c>
      <c r="G618" s="84">
        <v>1358.57</v>
      </c>
      <c r="H618" s="85">
        <v>0.1</v>
      </c>
      <c r="I618" s="86">
        <f t="shared" si="18"/>
        <v>6113.5649999999996</v>
      </c>
      <c r="J618" s="86">
        <v>4619.1400000000003</v>
      </c>
      <c r="K618" s="86">
        <f t="shared" si="19"/>
        <v>1494.4249999999993</v>
      </c>
      <c r="L618" s="87" t="s">
        <v>63</v>
      </c>
      <c r="M618" s="87" t="s">
        <v>60</v>
      </c>
      <c r="N618" s="88" t="s">
        <v>78</v>
      </c>
    </row>
    <row r="619" spans="1:14">
      <c r="A619" s="81">
        <v>45739</v>
      </c>
      <c r="B619" s="82" t="s">
        <v>687</v>
      </c>
      <c r="C619" s="82" t="s">
        <v>40</v>
      </c>
      <c r="D619" s="82" t="s">
        <v>27</v>
      </c>
      <c r="E619" s="82" t="s">
        <v>30</v>
      </c>
      <c r="F619" s="83">
        <v>7</v>
      </c>
      <c r="G619" s="84">
        <v>677.33</v>
      </c>
      <c r="H619" s="85">
        <v>0.05</v>
      </c>
      <c r="I619" s="86">
        <f t="shared" si="18"/>
        <v>4504.2444999999998</v>
      </c>
      <c r="J619" s="86">
        <v>3034.44</v>
      </c>
      <c r="K619" s="86">
        <f t="shared" si="19"/>
        <v>1469.8044999999997</v>
      </c>
      <c r="L619" s="87" t="s">
        <v>63</v>
      </c>
      <c r="M619" s="87" t="s">
        <v>68</v>
      </c>
      <c r="N619" s="88" t="s">
        <v>69</v>
      </c>
    </row>
    <row r="620" spans="1:14">
      <c r="A620" s="81">
        <v>45739</v>
      </c>
      <c r="B620" s="82" t="s">
        <v>688</v>
      </c>
      <c r="C620" s="82" t="s">
        <v>36</v>
      </c>
      <c r="D620" s="82" t="s">
        <v>32</v>
      </c>
      <c r="E620" s="82" t="s">
        <v>42</v>
      </c>
      <c r="F620" s="83">
        <v>10</v>
      </c>
      <c r="G620" s="84">
        <v>814.79</v>
      </c>
      <c r="H620" s="85">
        <v>0.05</v>
      </c>
      <c r="I620" s="86">
        <f t="shared" si="18"/>
        <v>7740.5049999999992</v>
      </c>
      <c r="J620" s="86">
        <v>4970.22</v>
      </c>
      <c r="K620" s="86">
        <f t="shared" si="19"/>
        <v>2770.2849999999989</v>
      </c>
      <c r="L620" s="87" t="s">
        <v>67</v>
      </c>
      <c r="M620" s="87" t="s">
        <v>68</v>
      </c>
      <c r="N620" s="88" t="s">
        <v>71</v>
      </c>
    </row>
    <row r="621" spans="1:14">
      <c r="A621" s="81">
        <v>45739</v>
      </c>
      <c r="B621" s="82" t="s">
        <v>689</v>
      </c>
      <c r="C621" s="82" t="s">
        <v>40</v>
      </c>
      <c r="D621" s="82" t="s">
        <v>32</v>
      </c>
      <c r="E621" s="82" t="s">
        <v>39</v>
      </c>
      <c r="F621" s="83">
        <v>12</v>
      </c>
      <c r="G621" s="84">
        <v>452.89</v>
      </c>
      <c r="H621" s="85">
        <v>0</v>
      </c>
      <c r="I621" s="86">
        <f t="shared" si="18"/>
        <v>5434.68</v>
      </c>
      <c r="J621" s="86">
        <v>3097.77</v>
      </c>
      <c r="K621" s="86">
        <f t="shared" si="19"/>
        <v>2336.9100000000003</v>
      </c>
      <c r="L621" s="87" t="s">
        <v>63</v>
      </c>
      <c r="M621" s="87" t="s">
        <v>68</v>
      </c>
      <c r="N621" s="88" t="s">
        <v>65</v>
      </c>
    </row>
    <row r="622" spans="1:14">
      <c r="A622" s="81">
        <v>45740</v>
      </c>
      <c r="B622" s="82" t="s">
        <v>690</v>
      </c>
      <c r="C622" s="82" t="s">
        <v>31</v>
      </c>
      <c r="D622" s="82" t="s">
        <v>27</v>
      </c>
      <c r="E622" s="82" t="s">
        <v>25</v>
      </c>
      <c r="F622" s="83">
        <v>2</v>
      </c>
      <c r="G622" s="84">
        <v>1247.9000000000001</v>
      </c>
      <c r="H622" s="85">
        <v>0.05</v>
      </c>
      <c r="I622" s="86">
        <f t="shared" si="18"/>
        <v>2371.0100000000002</v>
      </c>
      <c r="J622" s="86">
        <v>1697.14</v>
      </c>
      <c r="K622" s="86">
        <f t="shared" si="19"/>
        <v>673.87000000000012</v>
      </c>
      <c r="L622" s="87" t="s">
        <v>59</v>
      </c>
      <c r="M622" s="87" t="s">
        <v>64</v>
      </c>
      <c r="N622" s="88" t="s">
        <v>71</v>
      </c>
    </row>
    <row r="623" spans="1:14">
      <c r="A623" s="81">
        <v>45741</v>
      </c>
      <c r="B623" s="82" t="s">
        <v>691</v>
      </c>
      <c r="C623" s="82" t="s">
        <v>40</v>
      </c>
      <c r="D623" s="82" t="s">
        <v>32</v>
      </c>
      <c r="E623" s="82" t="s">
        <v>42</v>
      </c>
      <c r="F623" s="83">
        <v>2</v>
      </c>
      <c r="G623" s="84">
        <v>802.97</v>
      </c>
      <c r="H623" s="85">
        <v>0.1</v>
      </c>
      <c r="I623" s="86">
        <f t="shared" si="18"/>
        <v>1445.346</v>
      </c>
      <c r="J623" s="86">
        <v>979.62</v>
      </c>
      <c r="K623" s="86">
        <f t="shared" si="19"/>
        <v>465.726</v>
      </c>
      <c r="L623" s="87" t="s">
        <v>63</v>
      </c>
      <c r="M623" s="87" t="s">
        <v>64</v>
      </c>
      <c r="N623" s="88" t="s">
        <v>61</v>
      </c>
    </row>
    <row r="624" spans="1:14">
      <c r="A624" s="81">
        <v>45741</v>
      </c>
      <c r="B624" s="82" t="s">
        <v>692</v>
      </c>
      <c r="C624" s="82" t="s">
        <v>40</v>
      </c>
      <c r="D624" s="82" t="s">
        <v>27</v>
      </c>
      <c r="E624" s="82" t="s">
        <v>35</v>
      </c>
      <c r="F624" s="83">
        <v>4</v>
      </c>
      <c r="G624" s="84">
        <v>404.61</v>
      </c>
      <c r="H624" s="85">
        <v>0.08</v>
      </c>
      <c r="I624" s="86">
        <f t="shared" si="18"/>
        <v>1488.9648000000002</v>
      </c>
      <c r="J624" s="86">
        <v>971.06</v>
      </c>
      <c r="K624" s="86">
        <f t="shared" si="19"/>
        <v>517.90480000000025</v>
      </c>
      <c r="L624" s="87" t="s">
        <v>67</v>
      </c>
      <c r="M624" s="87" t="s">
        <v>64</v>
      </c>
      <c r="N624" s="88" t="s">
        <v>61</v>
      </c>
    </row>
    <row r="625" spans="1:14">
      <c r="A625" s="81">
        <v>45741</v>
      </c>
      <c r="B625" s="82" t="s">
        <v>693</v>
      </c>
      <c r="C625" s="82" t="s">
        <v>36</v>
      </c>
      <c r="D625" s="82" t="s">
        <v>32</v>
      </c>
      <c r="E625" s="82" t="s">
        <v>42</v>
      </c>
      <c r="F625" s="83">
        <v>2</v>
      </c>
      <c r="G625" s="84">
        <v>841.72</v>
      </c>
      <c r="H625" s="85">
        <v>0.08</v>
      </c>
      <c r="I625" s="86">
        <f t="shared" si="18"/>
        <v>1548.7648000000002</v>
      </c>
      <c r="J625" s="86">
        <v>1026.9000000000001</v>
      </c>
      <c r="K625" s="86">
        <f t="shared" si="19"/>
        <v>521.86480000000006</v>
      </c>
      <c r="L625" s="87" t="s">
        <v>67</v>
      </c>
      <c r="M625" s="87" t="s">
        <v>64</v>
      </c>
      <c r="N625" s="88" t="s">
        <v>78</v>
      </c>
    </row>
    <row r="626" spans="1:14">
      <c r="A626" s="81">
        <v>45741</v>
      </c>
      <c r="B626" s="82" t="s">
        <v>694</v>
      </c>
      <c r="C626" s="82" t="s">
        <v>26</v>
      </c>
      <c r="D626" s="82" t="s">
        <v>37</v>
      </c>
      <c r="E626" s="82" t="s">
        <v>48</v>
      </c>
      <c r="F626" s="83">
        <v>2</v>
      </c>
      <c r="G626" s="84">
        <v>76.56</v>
      </c>
      <c r="H626" s="85">
        <v>0.08</v>
      </c>
      <c r="I626" s="86">
        <f t="shared" si="18"/>
        <v>140.87040000000002</v>
      </c>
      <c r="J626" s="86">
        <v>64.31</v>
      </c>
      <c r="K626" s="86">
        <f t="shared" si="19"/>
        <v>76.560400000000016</v>
      </c>
      <c r="L626" s="87" t="s">
        <v>67</v>
      </c>
      <c r="M626" s="87" t="s">
        <v>60</v>
      </c>
      <c r="N626" s="88" t="s">
        <v>65</v>
      </c>
    </row>
    <row r="627" spans="1:14">
      <c r="A627" s="81">
        <v>45742</v>
      </c>
      <c r="B627" s="82" t="s">
        <v>695</v>
      </c>
      <c r="C627" s="82" t="s">
        <v>31</v>
      </c>
      <c r="D627" s="82" t="s">
        <v>37</v>
      </c>
      <c r="E627" s="82" t="s">
        <v>48</v>
      </c>
      <c r="F627" s="83">
        <v>11</v>
      </c>
      <c r="G627" s="84">
        <v>74.97</v>
      </c>
      <c r="H627" s="85">
        <v>0.12</v>
      </c>
      <c r="I627" s="86">
        <f t="shared" si="18"/>
        <v>725.70960000000002</v>
      </c>
      <c r="J627" s="86">
        <v>346.36</v>
      </c>
      <c r="K627" s="86">
        <f t="shared" si="19"/>
        <v>379.34960000000001</v>
      </c>
      <c r="L627" s="87" t="s">
        <v>67</v>
      </c>
      <c r="M627" s="87" t="s">
        <v>68</v>
      </c>
      <c r="N627" s="88" t="s">
        <v>74</v>
      </c>
    </row>
    <row r="628" spans="1:14">
      <c r="A628" s="81">
        <v>45742</v>
      </c>
      <c r="B628" s="82" t="s">
        <v>696</v>
      </c>
      <c r="C628" s="82" t="s">
        <v>31</v>
      </c>
      <c r="D628" s="82" t="s">
        <v>27</v>
      </c>
      <c r="E628" s="82" t="s">
        <v>25</v>
      </c>
      <c r="F628" s="83">
        <v>3</v>
      </c>
      <c r="G628" s="84">
        <v>1281.8499999999999</v>
      </c>
      <c r="H628" s="85">
        <v>0.1</v>
      </c>
      <c r="I628" s="86">
        <f t="shared" si="18"/>
        <v>3460.9949999999999</v>
      </c>
      <c r="J628" s="86">
        <v>2614.9699999999998</v>
      </c>
      <c r="K628" s="86">
        <f t="shared" si="19"/>
        <v>846.02500000000009</v>
      </c>
      <c r="L628" s="87" t="s">
        <v>59</v>
      </c>
      <c r="M628" s="87" t="s">
        <v>60</v>
      </c>
      <c r="N628" s="88" t="s">
        <v>69</v>
      </c>
    </row>
    <row r="629" spans="1:14">
      <c r="A629" s="81">
        <v>45742</v>
      </c>
      <c r="B629" s="82" t="s">
        <v>697</v>
      </c>
      <c r="C629" s="82" t="s">
        <v>26</v>
      </c>
      <c r="D629" s="82" t="s">
        <v>27</v>
      </c>
      <c r="E629" s="82" t="s">
        <v>35</v>
      </c>
      <c r="F629" s="83">
        <v>3</v>
      </c>
      <c r="G629" s="84">
        <v>376.71</v>
      </c>
      <c r="H629" s="85">
        <v>0.05</v>
      </c>
      <c r="I629" s="86">
        <f t="shared" si="18"/>
        <v>1073.6234999999999</v>
      </c>
      <c r="J629" s="86">
        <v>678.08</v>
      </c>
      <c r="K629" s="86">
        <f t="shared" si="19"/>
        <v>395.54349999999988</v>
      </c>
      <c r="L629" s="87" t="s">
        <v>67</v>
      </c>
      <c r="M629" s="87" t="s">
        <v>68</v>
      </c>
      <c r="N629" s="88" t="s">
        <v>61</v>
      </c>
    </row>
    <row r="630" spans="1:14">
      <c r="A630" s="81">
        <v>45742</v>
      </c>
      <c r="B630" s="82" t="s">
        <v>698</v>
      </c>
      <c r="C630" s="82" t="s">
        <v>26</v>
      </c>
      <c r="D630" s="82" t="s">
        <v>37</v>
      </c>
      <c r="E630" s="82" t="s">
        <v>48</v>
      </c>
      <c r="F630" s="83">
        <v>7</v>
      </c>
      <c r="G630" s="84">
        <v>74.86</v>
      </c>
      <c r="H630" s="85">
        <v>0.1</v>
      </c>
      <c r="I630" s="86">
        <f t="shared" si="18"/>
        <v>471.61799999999999</v>
      </c>
      <c r="J630" s="86">
        <v>220.09</v>
      </c>
      <c r="K630" s="86">
        <f t="shared" si="19"/>
        <v>251.52799999999999</v>
      </c>
      <c r="L630" s="87" t="s">
        <v>59</v>
      </c>
      <c r="M630" s="87" t="s">
        <v>60</v>
      </c>
      <c r="N630" s="88" t="s">
        <v>71</v>
      </c>
    </row>
    <row r="631" spans="1:14">
      <c r="A631" s="81">
        <v>45743</v>
      </c>
      <c r="B631" s="82" t="s">
        <v>699</v>
      </c>
      <c r="C631" s="82" t="s">
        <v>40</v>
      </c>
      <c r="D631" s="82" t="s">
        <v>37</v>
      </c>
      <c r="E631" s="82" t="s">
        <v>47</v>
      </c>
      <c r="F631" s="83">
        <v>4</v>
      </c>
      <c r="G631" s="84">
        <v>135.47</v>
      </c>
      <c r="H631" s="85">
        <v>0.1</v>
      </c>
      <c r="I631" s="86">
        <f t="shared" si="18"/>
        <v>487.69200000000001</v>
      </c>
      <c r="J631" s="86">
        <v>249.26</v>
      </c>
      <c r="K631" s="86">
        <f t="shared" si="19"/>
        <v>238.43200000000002</v>
      </c>
      <c r="L631" s="87" t="s">
        <v>63</v>
      </c>
      <c r="M631" s="87" t="s">
        <v>68</v>
      </c>
      <c r="N631" s="88" t="s">
        <v>65</v>
      </c>
    </row>
    <row r="632" spans="1:14">
      <c r="A632" s="81">
        <v>45743</v>
      </c>
      <c r="B632" s="82" t="s">
        <v>700</v>
      </c>
      <c r="C632" s="82" t="s">
        <v>36</v>
      </c>
      <c r="D632" s="82" t="s">
        <v>27</v>
      </c>
      <c r="E632" s="82" t="s">
        <v>35</v>
      </c>
      <c r="F632" s="83">
        <v>6</v>
      </c>
      <c r="G632" s="84">
        <v>404.31</v>
      </c>
      <c r="H632" s="85">
        <v>0.08</v>
      </c>
      <c r="I632" s="86">
        <f t="shared" si="18"/>
        <v>2231.7912000000001</v>
      </c>
      <c r="J632" s="86">
        <v>1455.52</v>
      </c>
      <c r="K632" s="86">
        <f t="shared" si="19"/>
        <v>776.27120000000014</v>
      </c>
      <c r="L632" s="87" t="s">
        <v>59</v>
      </c>
      <c r="M632" s="87" t="s">
        <v>68</v>
      </c>
      <c r="N632" s="88" t="s">
        <v>71</v>
      </c>
    </row>
    <row r="633" spans="1:14">
      <c r="A633" s="81">
        <v>45743</v>
      </c>
      <c r="B633" s="82" t="s">
        <v>701</v>
      </c>
      <c r="C633" s="82" t="s">
        <v>36</v>
      </c>
      <c r="D633" s="82" t="s">
        <v>32</v>
      </c>
      <c r="E633" s="82" t="s">
        <v>46</v>
      </c>
      <c r="F633" s="83">
        <v>12</v>
      </c>
      <c r="G633" s="84">
        <v>100.83</v>
      </c>
      <c r="H633" s="85">
        <v>0.1</v>
      </c>
      <c r="I633" s="86">
        <f t="shared" si="18"/>
        <v>1088.9640000000002</v>
      </c>
      <c r="J633" s="86">
        <v>580.78</v>
      </c>
      <c r="K633" s="86">
        <f t="shared" si="19"/>
        <v>508.1840000000002</v>
      </c>
      <c r="L633" s="87" t="s">
        <v>63</v>
      </c>
      <c r="M633" s="87" t="s">
        <v>68</v>
      </c>
      <c r="N633" s="88" t="s">
        <v>61</v>
      </c>
    </row>
    <row r="634" spans="1:14">
      <c r="A634" s="81">
        <v>45744</v>
      </c>
      <c r="B634" s="82" t="s">
        <v>702</v>
      </c>
      <c r="C634" s="82" t="s">
        <v>31</v>
      </c>
      <c r="D634" s="82" t="s">
        <v>32</v>
      </c>
      <c r="E634" s="82" t="s">
        <v>46</v>
      </c>
      <c r="F634" s="83">
        <v>3</v>
      </c>
      <c r="G634" s="84">
        <v>107.94</v>
      </c>
      <c r="H634" s="85">
        <v>0</v>
      </c>
      <c r="I634" s="86">
        <f t="shared" si="18"/>
        <v>323.82</v>
      </c>
      <c r="J634" s="86">
        <v>155.43</v>
      </c>
      <c r="K634" s="86">
        <f t="shared" si="19"/>
        <v>168.39</v>
      </c>
      <c r="L634" s="87" t="s">
        <v>67</v>
      </c>
      <c r="M634" s="87" t="s">
        <v>60</v>
      </c>
      <c r="N634" s="88" t="s">
        <v>71</v>
      </c>
    </row>
    <row r="635" spans="1:14">
      <c r="A635" s="81">
        <v>45745</v>
      </c>
      <c r="B635" s="82" t="s">
        <v>703</v>
      </c>
      <c r="C635" s="82" t="s">
        <v>36</v>
      </c>
      <c r="D635" s="82" t="s">
        <v>37</v>
      </c>
      <c r="E635" s="82" t="s">
        <v>47</v>
      </c>
      <c r="F635" s="83">
        <v>4</v>
      </c>
      <c r="G635" s="84">
        <v>136.03</v>
      </c>
      <c r="H635" s="85">
        <v>0</v>
      </c>
      <c r="I635" s="86">
        <f t="shared" si="18"/>
        <v>544.12</v>
      </c>
      <c r="J635" s="86">
        <v>250.3</v>
      </c>
      <c r="K635" s="86">
        <f t="shared" si="19"/>
        <v>293.82</v>
      </c>
      <c r="L635" s="87" t="s">
        <v>59</v>
      </c>
      <c r="M635" s="87" t="s">
        <v>60</v>
      </c>
      <c r="N635" s="88" t="s">
        <v>61</v>
      </c>
    </row>
    <row r="636" spans="1:14">
      <c r="A636" s="81">
        <v>45746</v>
      </c>
      <c r="B636" s="82" t="s">
        <v>704</v>
      </c>
      <c r="C636" s="82" t="s">
        <v>31</v>
      </c>
      <c r="D636" s="82" t="s">
        <v>27</v>
      </c>
      <c r="E636" s="82" t="s">
        <v>30</v>
      </c>
      <c r="F636" s="83">
        <v>4</v>
      </c>
      <c r="G636" s="84">
        <v>713.21</v>
      </c>
      <c r="H636" s="85">
        <v>0</v>
      </c>
      <c r="I636" s="86">
        <f t="shared" si="18"/>
        <v>2852.84</v>
      </c>
      <c r="J636" s="86">
        <v>1825.82</v>
      </c>
      <c r="K636" s="86">
        <f t="shared" si="19"/>
        <v>1027.0200000000002</v>
      </c>
      <c r="L636" s="87" t="s">
        <v>59</v>
      </c>
      <c r="M636" s="87" t="s">
        <v>60</v>
      </c>
      <c r="N636" s="88" t="s">
        <v>65</v>
      </c>
    </row>
    <row r="637" spans="1:14">
      <c r="A637" s="81">
        <v>45746</v>
      </c>
      <c r="B637" s="82" t="s">
        <v>705</v>
      </c>
      <c r="C637" s="82" t="s">
        <v>40</v>
      </c>
      <c r="D637" s="82" t="s">
        <v>37</v>
      </c>
      <c r="E637" s="82" t="s">
        <v>48</v>
      </c>
      <c r="F637" s="83">
        <v>8</v>
      </c>
      <c r="G637" s="84">
        <v>76.400000000000006</v>
      </c>
      <c r="H637" s="85">
        <v>0.08</v>
      </c>
      <c r="I637" s="86">
        <f t="shared" si="18"/>
        <v>562.30400000000009</v>
      </c>
      <c r="J637" s="86">
        <v>256.7</v>
      </c>
      <c r="K637" s="86">
        <f t="shared" si="19"/>
        <v>305.6040000000001</v>
      </c>
      <c r="L637" s="87" t="s">
        <v>67</v>
      </c>
      <c r="M637" s="87" t="s">
        <v>60</v>
      </c>
      <c r="N637" s="88" t="s">
        <v>71</v>
      </c>
    </row>
    <row r="638" spans="1:14">
      <c r="A638" s="81">
        <v>45747</v>
      </c>
      <c r="B638" s="82" t="s">
        <v>706</v>
      </c>
      <c r="C638" s="82" t="s">
        <v>40</v>
      </c>
      <c r="D638" s="82" t="s">
        <v>27</v>
      </c>
      <c r="E638" s="82" t="s">
        <v>25</v>
      </c>
      <c r="F638" s="83">
        <v>6</v>
      </c>
      <c r="G638" s="84">
        <v>1309.24</v>
      </c>
      <c r="H638" s="85">
        <v>0</v>
      </c>
      <c r="I638" s="86">
        <f t="shared" si="18"/>
        <v>7855.4400000000005</v>
      </c>
      <c r="J638" s="86">
        <v>5341.7</v>
      </c>
      <c r="K638" s="86">
        <f t="shared" si="19"/>
        <v>2513.7400000000007</v>
      </c>
      <c r="L638" s="87" t="s">
        <v>59</v>
      </c>
      <c r="M638" s="87" t="s">
        <v>68</v>
      </c>
      <c r="N638" s="88" t="s">
        <v>74</v>
      </c>
    </row>
    <row r="639" spans="1:14">
      <c r="A639" s="81">
        <v>45749</v>
      </c>
      <c r="B639" s="82" t="s">
        <v>707</v>
      </c>
      <c r="C639" s="82" t="s">
        <v>26</v>
      </c>
      <c r="D639" s="82" t="s">
        <v>37</v>
      </c>
      <c r="E639" s="82" t="s">
        <v>47</v>
      </c>
      <c r="F639" s="83">
        <v>9</v>
      </c>
      <c r="G639" s="84">
        <v>135.19999999999999</v>
      </c>
      <c r="H639" s="85">
        <v>0.12</v>
      </c>
      <c r="I639" s="86">
        <f t="shared" si="18"/>
        <v>1070.7839999999999</v>
      </c>
      <c r="J639" s="86">
        <v>559.73</v>
      </c>
      <c r="K639" s="86">
        <f t="shared" si="19"/>
        <v>511.05399999999986</v>
      </c>
      <c r="L639" s="87" t="s">
        <v>67</v>
      </c>
      <c r="M639" s="87" t="s">
        <v>64</v>
      </c>
      <c r="N639" s="88" t="s">
        <v>65</v>
      </c>
    </row>
    <row r="640" spans="1:14">
      <c r="A640" s="81">
        <v>45750</v>
      </c>
      <c r="B640" s="82" t="s">
        <v>708</v>
      </c>
      <c r="C640" s="82" t="s">
        <v>31</v>
      </c>
      <c r="D640" s="82" t="s">
        <v>27</v>
      </c>
      <c r="E640" s="82" t="s">
        <v>25</v>
      </c>
      <c r="F640" s="83">
        <v>7</v>
      </c>
      <c r="G640" s="84">
        <v>1346.83</v>
      </c>
      <c r="H640" s="85">
        <v>0.03</v>
      </c>
      <c r="I640" s="86">
        <f t="shared" si="18"/>
        <v>9144.9756999999991</v>
      </c>
      <c r="J640" s="86">
        <v>6410.91</v>
      </c>
      <c r="K640" s="86">
        <f t="shared" si="19"/>
        <v>2734.0656999999992</v>
      </c>
      <c r="L640" s="87" t="s">
        <v>59</v>
      </c>
      <c r="M640" s="87" t="s">
        <v>64</v>
      </c>
      <c r="N640" s="88" t="s">
        <v>61</v>
      </c>
    </row>
    <row r="641" spans="1:14">
      <c r="A641" s="81">
        <v>45750</v>
      </c>
      <c r="B641" s="82" t="s">
        <v>709</v>
      </c>
      <c r="C641" s="82" t="s">
        <v>36</v>
      </c>
      <c r="D641" s="82" t="s">
        <v>37</v>
      </c>
      <c r="E641" s="82" t="s">
        <v>48</v>
      </c>
      <c r="F641" s="83">
        <v>9</v>
      </c>
      <c r="G641" s="84">
        <v>78.45</v>
      </c>
      <c r="H641" s="85">
        <v>0</v>
      </c>
      <c r="I641" s="86">
        <f t="shared" si="18"/>
        <v>706.05000000000007</v>
      </c>
      <c r="J641" s="86">
        <v>296.54000000000002</v>
      </c>
      <c r="K641" s="86">
        <f t="shared" si="19"/>
        <v>409.51000000000005</v>
      </c>
      <c r="L641" s="87" t="s">
        <v>63</v>
      </c>
      <c r="M641" s="87" t="s">
        <v>60</v>
      </c>
      <c r="N641" s="88" t="s">
        <v>78</v>
      </c>
    </row>
    <row r="642" spans="1:14">
      <c r="A642" s="81">
        <v>45751</v>
      </c>
      <c r="B642" s="82" t="s">
        <v>710</v>
      </c>
      <c r="C642" s="82" t="s">
        <v>26</v>
      </c>
      <c r="D642" s="82" t="s">
        <v>32</v>
      </c>
      <c r="E642" s="82" t="s">
        <v>46</v>
      </c>
      <c r="F642" s="83">
        <v>7</v>
      </c>
      <c r="G642" s="84">
        <v>100.78</v>
      </c>
      <c r="H642" s="85">
        <v>0.12</v>
      </c>
      <c r="I642" s="86">
        <f t="shared" ref="I642:I705" si="20">F642*G642*(1-H642)</f>
        <v>620.8048</v>
      </c>
      <c r="J642" s="86">
        <v>338.62</v>
      </c>
      <c r="K642" s="86">
        <f t="shared" ref="K642:K705" si="21">I642-J642</f>
        <v>282.1848</v>
      </c>
      <c r="L642" s="87" t="s">
        <v>59</v>
      </c>
      <c r="M642" s="87" t="s">
        <v>68</v>
      </c>
      <c r="N642" s="88" t="s">
        <v>65</v>
      </c>
    </row>
    <row r="643" spans="1:14">
      <c r="A643" s="81">
        <v>45752</v>
      </c>
      <c r="B643" s="82" t="s">
        <v>711</v>
      </c>
      <c r="C643" s="82" t="s">
        <v>26</v>
      </c>
      <c r="D643" s="82" t="s">
        <v>27</v>
      </c>
      <c r="E643" s="82" t="s">
        <v>25</v>
      </c>
      <c r="F643" s="83">
        <v>1</v>
      </c>
      <c r="G643" s="84">
        <v>1238.6099999999999</v>
      </c>
      <c r="H643" s="85">
        <v>0.03</v>
      </c>
      <c r="I643" s="86">
        <f t="shared" si="20"/>
        <v>1201.4516999999998</v>
      </c>
      <c r="J643" s="86">
        <v>842.25</v>
      </c>
      <c r="K643" s="86">
        <f t="shared" si="21"/>
        <v>359.20169999999985</v>
      </c>
      <c r="L643" s="87" t="s">
        <v>63</v>
      </c>
      <c r="M643" s="87" t="s">
        <v>60</v>
      </c>
      <c r="N643" s="88" t="s">
        <v>65</v>
      </c>
    </row>
    <row r="644" spans="1:14">
      <c r="A644" s="81">
        <v>45752</v>
      </c>
      <c r="B644" s="82" t="s">
        <v>712</v>
      </c>
      <c r="C644" s="82" t="s">
        <v>31</v>
      </c>
      <c r="D644" s="82" t="s">
        <v>37</v>
      </c>
      <c r="E644" s="82" t="s">
        <v>47</v>
      </c>
      <c r="F644" s="83">
        <v>11</v>
      </c>
      <c r="G644" s="84">
        <v>137.49</v>
      </c>
      <c r="H644" s="85">
        <v>0.03</v>
      </c>
      <c r="I644" s="86">
        <f t="shared" si="20"/>
        <v>1467.0183</v>
      </c>
      <c r="J644" s="86">
        <v>695.7</v>
      </c>
      <c r="K644" s="86">
        <f t="shared" si="21"/>
        <v>771.31829999999991</v>
      </c>
      <c r="L644" s="87" t="s">
        <v>63</v>
      </c>
      <c r="M644" s="87" t="s">
        <v>68</v>
      </c>
      <c r="N644" s="88" t="s">
        <v>78</v>
      </c>
    </row>
    <row r="645" spans="1:14">
      <c r="A645" s="81">
        <v>45754</v>
      </c>
      <c r="B645" s="82" t="s">
        <v>713</v>
      </c>
      <c r="C645" s="82" t="s">
        <v>31</v>
      </c>
      <c r="D645" s="82" t="s">
        <v>37</v>
      </c>
      <c r="E645" s="82" t="s">
        <v>47</v>
      </c>
      <c r="F645" s="83">
        <v>5</v>
      </c>
      <c r="G645" s="84">
        <v>134.35</v>
      </c>
      <c r="H645" s="85">
        <v>0.08</v>
      </c>
      <c r="I645" s="86">
        <f t="shared" si="20"/>
        <v>618.01</v>
      </c>
      <c r="J645" s="86">
        <v>309.01</v>
      </c>
      <c r="K645" s="86">
        <f t="shared" si="21"/>
        <v>309</v>
      </c>
      <c r="L645" s="87" t="s">
        <v>63</v>
      </c>
      <c r="M645" s="87" t="s">
        <v>60</v>
      </c>
      <c r="N645" s="88" t="s">
        <v>61</v>
      </c>
    </row>
    <row r="646" spans="1:14">
      <c r="A646" s="81">
        <v>45754</v>
      </c>
      <c r="B646" s="82" t="s">
        <v>714</v>
      </c>
      <c r="C646" s="82" t="s">
        <v>26</v>
      </c>
      <c r="D646" s="82" t="s">
        <v>27</v>
      </c>
      <c r="E646" s="82" t="s">
        <v>25</v>
      </c>
      <c r="F646" s="83">
        <v>3</v>
      </c>
      <c r="G646" s="84">
        <v>1281.31</v>
      </c>
      <c r="H646" s="85">
        <v>0</v>
      </c>
      <c r="I646" s="86">
        <f t="shared" si="20"/>
        <v>3843.93</v>
      </c>
      <c r="J646" s="86">
        <v>2613.87</v>
      </c>
      <c r="K646" s="86">
        <f t="shared" si="21"/>
        <v>1230.06</v>
      </c>
      <c r="L646" s="87" t="s">
        <v>67</v>
      </c>
      <c r="M646" s="87" t="s">
        <v>68</v>
      </c>
      <c r="N646" s="88" t="s">
        <v>61</v>
      </c>
    </row>
    <row r="647" spans="1:14">
      <c r="A647" s="81">
        <v>45756</v>
      </c>
      <c r="B647" s="82" t="s">
        <v>715</v>
      </c>
      <c r="C647" s="82" t="s">
        <v>26</v>
      </c>
      <c r="D647" s="82" t="s">
        <v>32</v>
      </c>
      <c r="E647" s="82" t="s">
        <v>46</v>
      </c>
      <c r="F647" s="83">
        <v>8</v>
      </c>
      <c r="G647" s="84">
        <v>104.5</v>
      </c>
      <c r="H647" s="85">
        <v>0.1</v>
      </c>
      <c r="I647" s="86">
        <f t="shared" si="20"/>
        <v>752.4</v>
      </c>
      <c r="J647" s="86">
        <v>401.28</v>
      </c>
      <c r="K647" s="86">
        <f t="shared" si="21"/>
        <v>351.12</v>
      </c>
      <c r="L647" s="87" t="s">
        <v>63</v>
      </c>
      <c r="M647" s="87" t="s">
        <v>64</v>
      </c>
      <c r="N647" s="88" t="s">
        <v>74</v>
      </c>
    </row>
    <row r="648" spans="1:14">
      <c r="A648" s="81">
        <v>45756</v>
      </c>
      <c r="B648" s="82" t="s">
        <v>716</v>
      </c>
      <c r="C648" s="82" t="s">
        <v>26</v>
      </c>
      <c r="D648" s="82" t="s">
        <v>32</v>
      </c>
      <c r="E648" s="82" t="s">
        <v>42</v>
      </c>
      <c r="F648" s="83">
        <v>11</v>
      </c>
      <c r="G648" s="84">
        <v>834.01</v>
      </c>
      <c r="H648" s="85">
        <v>0</v>
      </c>
      <c r="I648" s="86">
        <f t="shared" si="20"/>
        <v>9174.11</v>
      </c>
      <c r="J648" s="86">
        <v>5596.21</v>
      </c>
      <c r="K648" s="86">
        <f t="shared" si="21"/>
        <v>3577.9000000000005</v>
      </c>
      <c r="L648" s="87" t="s">
        <v>63</v>
      </c>
      <c r="M648" s="87" t="s">
        <v>68</v>
      </c>
      <c r="N648" s="88" t="s">
        <v>78</v>
      </c>
    </row>
    <row r="649" spans="1:14">
      <c r="A649" s="81">
        <v>45757</v>
      </c>
      <c r="B649" s="82" t="s">
        <v>717</v>
      </c>
      <c r="C649" s="82" t="s">
        <v>36</v>
      </c>
      <c r="D649" s="82" t="s">
        <v>37</v>
      </c>
      <c r="E649" s="82" t="s">
        <v>47</v>
      </c>
      <c r="F649" s="83">
        <v>9</v>
      </c>
      <c r="G649" s="84">
        <v>129.74</v>
      </c>
      <c r="H649" s="85">
        <v>0.05</v>
      </c>
      <c r="I649" s="86">
        <f t="shared" si="20"/>
        <v>1109.277</v>
      </c>
      <c r="J649" s="86">
        <v>537.12</v>
      </c>
      <c r="K649" s="86">
        <f t="shared" si="21"/>
        <v>572.15700000000004</v>
      </c>
      <c r="L649" s="87" t="s">
        <v>63</v>
      </c>
      <c r="M649" s="87" t="s">
        <v>64</v>
      </c>
      <c r="N649" s="88" t="s">
        <v>74</v>
      </c>
    </row>
    <row r="650" spans="1:14">
      <c r="A650" s="81">
        <v>45757</v>
      </c>
      <c r="B650" s="82" t="s">
        <v>718</v>
      </c>
      <c r="C650" s="82" t="s">
        <v>36</v>
      </c>
      <c r="D650" s="82" t="s">
        <v>32</v>
      </c>
      <c r="E650" s="82" t="s">
        <v>46</v>
      </c>
      <c r="F650" s="83">
        <v>2</v>
      </c>
      <c r="G650" s="84">
        <v>108.28</v>
      </c>
      <c r="H650" s="85">
        <v>0.12</v>
      </c>
      <c r="I650" s="86">
        <f t="shared" si="20"/>
        <v>190.5728</v>
      </c>
      <c r="J650" s="86">
        <v>103.95</v>
      </c>
      <c r="K650" s="86">
        <f t="shared" si="21"/>
        <v>86.622799999999998</v>
      </c>
      <c r="L650" s="87" t="s">
        <v>63</v>
      </c>
      <c r="M650" s="87" t="s">
        <v>68</v>
      </c>
      <c r="N650" s="88" t="s">
        <v>71</v>
      </c>
    </row>
    <row r="651" spans="1:14">
      <c r="A651" s="81">
        <v>45757</v>
      </c>
      <c r="B651" s="82" t="s">
        <v>719</v>
      </c>
      <c r="C651" s="82" t="s">
        <v>26</v>
      </c>
      <c r="D651" s="82" t="s">
        <v>32</v>
      </c>
      <c r="E651" s="82" t="s">
        <v>39</v>
      </c>
      <c r="F651" s="83">
        <v>6</v>
      </c>
      <c r="G651" s="84">
        <v>459.58</v>
      </c>
      <c r="H651" s="85">
        <v>0.05</v>
      </c>
      <c r="I651" s="86">
        <f t="shared" si="20"/>
        <v>2619.6059999999998</v>
      </c>
      <c r="J651" s="86">
        <v>1571.76</v>
      </c>
      <c r="K651" s="86">
        <f t="shared" si="21"/>
        <v>1047.8459999999998</v>
      </c>
      <c r="L651" s="87" t="s">
        <v>63</v>
      </c>
      <c r="M651" s="87" t="s">
        <v>64</v>
      </c>
      <c r="N651" s="88" t="s">
        <v>74</v>
      </c>
    </row>
    <row r="652" spans="1:14">
      <c r="A652" s="81">
        <v>45758</v>
      </c>
      <c r="B652" s="82" t="s">
        <v>720</v>
      </c>
      <c r="C652" s="82" t="s">
        <v>36</v>
      </c>
      <c r="D652" s="82" t="s">
        <v>37</v>
      </c>
      <c r="E652" s="82" t="s">
        <v>47</v>
      </c>
      <c r="F652" s="83">
        <v>3</v>
      </c>
      <c r="G652" s="84">
        <v>129.81</v>
      </c>
      <c r="H652" s="85">
        <v>0.08</v>
      </c>
      <c r="I652" s="86">
        <f t="shared" si="20"/>
        <v>358.2756</v>
      </c>
      <c r="J652" s="86">
        <v>179.14</v>
      </c>
      <c r="K652" s="86">
        <f t="shared" si="21"/>
        <v>179.13560000000001</v>
      </c>
      <c r="L652" s="87" t="s">
        <v>63</v>
      </c>
      <c r="M652" s="87" t="s">
        <v>68</v>
      </c>
      <c r="N652" s="88" t="s">
        <v>74</v>
      </c>
    </row>
    <row r="653" spans="1:14">
      <c r="A653" s="81">
        <v>45760</v>
      </c>
      <c r="B653" s="82" t="s">
        <v>721</v>
      </c>
      <c r="C653" s="82" t="s">
        <v>40</v>
      </c>
      <c r="D653" s="82" t="s">
        <v>37</v>
      </c>
      <c r="E653" s="82" t="s">
        <v>48</v>
      </c>
      <c r="F653" s="83">
        <v>7</v>
      </c>
      <c r="G653" s="84">
        <v>78.37</v>
      </c>
      <c r="H653" s="85">
        <v>0.08</v>
      </c>
      <c r="I653" s="86">
        <f t="shared" si="20"/>
        <v>504.70280000000002</v>
      </c>
      <c r="J653" s="86">
        <v>230.41</v>
      </c>
      <c r="K653" s="86">
        <f t="shared" si="21"/>
        <v>274.29280000000006</v>
      </c>
      <c r="L653" s="87" t="s">
        <v>63</v>
      </c>
      <c r="M653" s="87" t="s">
        <v>60</v>
      </c>
      <c r="N653" s="88" t="s">
        <v>71</v>
      </c>
    </row>
    <row r="654" spans="1:14">
      <c r="A654" s="81">
        <v>45761</v>
      </c>
      <c r="B654" s="82" t="s">
        <v>722</v>
      </c>
      <c r="C654" s="82" t="s">
        <v>36</v>
      </c>
      <c r="D654" s="82" t="s">
        <v>37</v>
      </c>
      <c r="E654" s="82" t="s">
        <v>48</v>
      </c>
      <c r="F654" s="83">
        <v>2</v>
      </c>
      <c r="G654" s="84">
        <v>72.150000000000006</v>
      </c>
      <c r="H654" s="85">
        <v>0.12</v>
      </c>
      <c r="I654" s="86">
        <f t="shared" si="20"/>
        <v>126.98400000000001</v>
      </c>
      <c r="J654" s="86">
        <v>60.61</v>
      </c>
      <c r="K654" s="86">
        <f t="shared" si="21"/>
        <v>66.374000000000009</v>
      </c>
      <c r="L654" s="87" t="s">
        <v>59</v>
      </c>
      <c r="M654" s="87" t="s">
        <v>64</v>
      </c>
      <c r="N654" s="88" t="s">
        <v>71</v>
      </c>
    </row>
    <row r="655" spans="1:14">
      <c r="A655" s="81">
        <v>45762</v>
      </c>
      <c r="B655" s="82" t="s">
        <v>723</v>
      </c>
      <c r="C655" s="82" t="s">
        <v>26</v>
      </c>
      <c r="D655" s="82" t="s">
        <v>27</v>
      </c>
      <c r="E655" s="82" t="s">
        <v>30</v>
      </c>
      <c r="F655" s="83">
        <v>5</v>
      </c>
      <c r="G655" s="84">
        <v>698.21</v>
      </c>
      <c r="H655" s="85">
        <v>0.05</v>
      </c>
      <c r="I655" s="86">
        <f t="shared" si="20"/>
        <v>3316.4974999999999</v>
      </c>
      <c r="J655" s="86">
        <v>2234.27</v>
      </c>
      <c r="K655" s="86">
        <f t="shared" si="21"/>
        <v>1082.2275</v>
      </c>
      <c r="L655" s="87" t="s">
        <v>59</v>
      </c>
      <c r="M655" s="87" t="s">
        <v>68</v>
      </c>
      <c r="N655" s="88" t="s">
        <v>61</v>
      </c>
    </row>
    <row r="656" spans="1:14">
      <c r="A656" s="81">
        <v>45763</v>
      </c>
      <c r="B656" s="82" t="s">
        <v>724</v>
      </c>
      <c r="C656" s="82" t="s">
        <v>26</v>
      </c>
      <c r="D656" s="82" t="s">
        <v>32</v>
      </c>
      <c r="E656" s="82" t="s">
        <v>46</v>
      </c>
      <c r="F656" s="83">
        <v>7</v>
      </c>
      <c r="G656" s="84">
        <v>101</v>
      </c>
      <c r="H656" s="85">
        <v>0.1</v>
      </c>
      <c r="I656" s="86">
        <f t="shared" si="20"/>
        <v>636.30000000000007</v>
      </c>
      <c r="J656" s="86">
        <v>339.36</v>
      </c>
      <c r="K656" s="86">
        <f t="shared" si="21"/>
        <v>296.94000000000005</v>
      </c>
      <c r="L656" s="87" t="s">
        <v>59</v>
      </c>
      <c r="M656" s="87" t="s">
        <v>68</v>
      </c>
      <c r="N656" s="88" t="s">
        <v>69</v>
      </c>
    </row>
    <row r="657" spans="1:14">
      <c r="A657" s="81">
        <v>45763</v>
      </c>
      <c r="B657" s="82" t="s">
        <v>725</v>
      </c>
      <c r="C657" s="82" t="s">
        <v>40</v>
      </c>
      <c r="D657" s="82" t="s">
        <v>32</v>
      </c>
      <c r="E657" s="82" t="s">
        <v>42</v>
      </c>
      <c r="F657" s="83">
        <v>4</v>
      </c>
      <c r="G657" s="84">
        <v>818.78</v>
      </c>
      <c r="H657" s="85">
        <v>0.08</v>
      </c>
      <c r="I657" s="86">
        <f t="shared" si="20"/>
        <v>3013.1104</v>
      </c>
      <c r="J657" s="86">
        <v>1997.82</v>
      </c>
      <c r="K657" s="86">
        <f t="shared" si="21"/>
        <v>1015.2904000000001</v>
      </c>
      <c r="L657" s="87" t="s">
        <v>67</v>
      </c>
      <c r="M657" s="87" t="s">
        <v>68</v>
      </c>
      <c r="N657" s="88" t="s">
        <v>74</v>
      </c>
    </row>
    <row r="658" spans="1:14">
      <c r="A658" s="81">
        <v>45764</v>
      </c>
      <c r="B658" s="82" t="s">
        <v>726</v>
      </c>
      <c r="C658" s="82" t="s">
        <v>31</v>
      </c>
      <c r="D658" s="82" t="s">
        <v>32</v>
      </c>
      <c r="E658" s="82" t="s">
        <v>42</v>
      </c>
      <c r="F658" s="83">
        <v>10</v>
      </c>
      <c r="G658" s="84">
        <v>866.02</v>
      </c>
      <c r="H658" s="85">
        <v>0.08</v>
      </c>
      <c r="I658" s="86">
        <f t="shared" si="20"/>
        <v>7967.3840000000009</v>
      </c>
      <c r="J658" s="86">
        <v>5282.72</v>
      </c>
      <c r="K658" s="86">
        <f t="shared" si="21"/>
        <v>2684.6640000000007</v>
      </c>
      <c r="L658" s="87" t="s">
        <v>59</v>
      </c>
      <c r="M658" s="87" t="s">
        <v>68</v>
      </c>
      <c r="N658" s="88" t="s">
        <v>61</v>
      </c>
    </row>
    <row r="659" spans="1:14">
      <c r="A659" s="81">
        <v>45765</v>
      </c>
      <c r="B659" s="82" t="s">
        <v>727</v>
      </c>
      <c r="C659" s="82" t="s">
        <v>26</v>
      </c>
      <c r="D659" s="82" t="s">
        <v>32</v>
      </c>
      <c r="E659" s="82" t="s">
        <v>46</v>
      </c>
      <c r="F659" s="83">
        <v>7</v>
      </c>
      <c r="G659" s="84">
        <v>99.76</v>
      </c>
      <c r="H659" s="85">
        <v>0.05</v>
      </c>
      <c r="I659" s="86">
        <f t="shared" si="20"/>
        <v>663.404</v>
      </c>
      <c r="J659" s="86">
        <v>335.19</v>
      </c>
      <c r="K659" s="86">
        <f t="shared" si="21"/>
        <v>328.214</v>
      </c>
      <c r="L659" s="87" t="s">
        <v>63</v>
      </c>
      <c r="M659" s="87" t="s">
        <v>64</v>
      </c>
      <c r="N659" s="88" t="s">
        <v>74</v>
      </c>
    </row>
    <row r="660" spans="1:14">
      <c r="A660" s="81">
        <v>45765</v>
      </c>
      <c r="B660" s="82" t="s">
        <v>728</v>
      </c>
      <c r="C660" s="82" t="s">
        <v>26</v>
      </c>
      <c r="D660" s="82" t="s">
        <v>37</v>
      </c>
      <c r="E660" s="82" t="s">
        <v>48</v>
      </c>
      <c r="F660" s="83">
        <v>4</v>
      </c>
      <c r="G660" s="84">
        <v>76.58</v>
      </c>
      <c r="H660" s="85">
        <v>0.05</v>
      </c>
      <c r="I660" s="86">
        <f t="shared" si="20"/>
        <v>291.00399999999996</v>
      </c>
      <c r="J660" s="86">
        <v>128.65</v>
      </c>
      <c r="K660" s="86">
        <f t="shared" si="21"/>
        <v>162.35399999999996</v>
      </c>
      <c r="L660" s="87" t="s">
        <v>63</v>
      </c>
      <c r="M660" s="87" t="s">
        <v>60</v>
      </c>
      <c r="N660" s="88" t="s">
        <v>69</v>
      </c>
    </row>
    <row r="661" spans="1:14">
      <c r="A661" s="81">
        <v>45766</v>
      </c>
      <c r="B661" s="82" t="s">
        <v>729</v>
      </c>
      <c r="C661" s="82" t="s">
        <v>40</v>
      </c>
      <c r="D661" s="82" t="s">
        <v>27</v>
      </c>
      <c r="E661" s="82" t="s">
        <v>25</v>
      </c>
      <c r="F661" s="83">
        <v>5</v>
      </c>
      <c r="G661" s="84">
        <v>1238.96</v>
      </c>
      <c r="H661" s="85">
        <v>0.03</v>
      </c>
      <c r="I661" s="86">
        <f t="shared" si="20"/>
        <v>6008.9560000000001</v>
      </c>
      <c r="J661" s="86">
        <v>4212.46</v>
      </c>
      <c r="K661" s="86">
        <f t="shared" si="21"/>
        <v>1796.4960000000001</v>
      </c>
      <c r="L661" s="87" t="s">
        <v>59</v>
      </c>
      <c r="M661" s="87" t="s">
        <v>68</v>
      </c>
      <c r="N661" s="88" t="s">
        <v>69</v>
      </c>
    </row>
    <row r="662" spans="1:14">
      <c r="A662" s="81">
        <v>45769</v>
      </c>
      <c r="B662" s="82" t="s">
        <v>730</v>
      </c>
      <c r="C662" s="82" t="s">
        <v>40</v>
      </c>
      <c r="D662" s="82" t="s">
        <v>37</v>
      </c>
      <c r="E662" s="82" t="s">
        <v>48</v>
      </c>
      <c r="F662" s="83">
        <v>3</v>
      </c>
      <c r="G662" s="84">
        <v>76.349999999999994</v>
      </c>
      <c r="H662" s="85">
        <v>0</v>
      </c>
      <c r="I662" s="86">
        <f t="shared" si="20"/>
        <v>229.04999999999998</v>
      </c>
      <c r="J662" s="86">
        <v>96.2</v>
      </c>
      <c r="K662" s="86">
        <f t="shared" si="21"/>
        <v>132.84999999999997</v>
      </c>
      <c r="L662" s="87" t="s">
        <v>59</v>
      </c>
      <c r="M662" s="87" t="s">
        <v>68</v>
      </c>
      <c r="N662" s="88" t="s">
        <v>74</v>
      </c>
    </row>
    <row r="663" spans="1:14">
      <c r="A663" s="81">
        <v>45769</v>
      </c>
      <c r="B663" s="82" t="s">
        <v>731</v>
      </c>
      <c r="C663" s="82" t="s">
        <v>26</v>
      </c>
      <c r="D663" s="82" t="s">
        <v>27</v>
      </c>
      <c r="E663" s="82" t="s">
        <v>30</v>
      </c>
      <c r="F663" s="83">
        <v>2</v>
      </c>
      <c r="G663" s="84">
        <v>655.95</v>
      </c>
      <c r="H663" s="85">
        <v>0.05</v>
      </c>
      <c r="I663" s="86">
        <f t="shared" si="20"/>
        <v>1246.3050000000001</v>
      </c>
      <c r="J663" s="86">
        <v>839.62</v>
      </c>
      <c r="K663" s="86">
        <f t="shared" si="21"/>
        <v>406.68500000000006</v>
      </c>
      <c r="L663" s="87" t="s">
        <v>59</v>
      </c>
      <c r="M663" s="87" t="s">
        <v>64</v>
      </c>
      <c r="N663" s="88" t="s">
        <v>74</v>
      </c>
    </row>
    <row r="664" spans="1:14">
      <c r="A664" s="81">
        <v>45770</v>
      </c>
      <c r="B664" s="82" t="s">
        <v>732</v>
      </c>
      <c r="C664" s="82" t="s">
        <v>31</v>
      </c>
      <c r="D664" s="82" t="s">
        <v>37</v>
      </c>
      <c r="E664" s="82" t="s">
        <v>47</v>
      </c>
      <c r="F664" s="83">
        <v>6</v>
      </c>
      <c r="G664" s="84">
        <v>136.28</v>
      </c>
      <c r="H664" s="85">
        <v>0.05</v>
      </c>
      <c r="I664" s="86">
        <f t="shared" si="20"/>
        <v>776.79600000000005</v>
      </c>
      <c r="J664" s="86">
        <v>376.13</v>
      </c>
      <c r="K664" s="86">
        <f t="shared" si="21"/>
        <v>400.66600000000005</v>
      </c>
      <c r="L664" s="87" t="s">
        <v>63</v>
      </c>
      <c r="M664" s="87" t="s">
        <v>68</v>
      </c>
      <c r="N664" s="88" t="s">
        <v>74</v>
      </c>
    </row>
    <row r="665" spans="1:14">
      <c r="A665" s="81">
        <v>45770</v>
      </c>
      <c r="B665" s="82" t="s">
        <v>733</v>
      </c>
      <c r="C665" s="82" t="s">
        <v>31</v>
      </c>
      <c r="D665" s="82" t="s">
        <v>27</v>
      </c>
      <c r="E665" s="82" t="s">
        <v>35</v>
      </c>
      <c r="F665" s="83">
        <v>5</v>
      </c>
      <c r="G665" s="84">
        <v>394.4</v>
      </c>
      <c r="H665" s="85">
        <v>0.05</v>
      </c>
      <c r="I665" s="86">
        <f t="shared" si="20"/>
        <v>1873.3999999999999</v>
      </c>
      <c r="J665" s="86">
        <v>1183.2</v>
      </c>
      <c r="K665" s="86">
        <f t="shared" si="21"/>
        <v>690.19999999999982</v>
      </c>
      <c r="L665" s="87" t="s">
        <v>63</v>
      </c>
      <c r="M665" s="87" t="s">
        <v>68</v>
      </c>
      <c r="N665" s="88" t="s">
        <v>78</v>
      </c>
    </row>
    <row r="666" spans="1:14">
      <c r="A666" s="81">
        <v>45770</v>
      </c>
      <c r="B666" s="82" t="s">
        <v>734</v>
      </c>
      <c r="C666" s="82" t="s">
        <v>40</v>
      </c>
      <c r="D666" s="82" t="s">
        <v>32</v>
      </c>
      <c r="E666" s="82" t="s">
        <v>39</v>
      </c>
      <c r="F666" s="83">
        <v>5</v>
      </c>
      <c r="G666" s="84">
        <v>478.66</v>
      </c>
      <c r="H666" s="85">
        <v>0.12</v>
      </c>
      <c r="I666" s="86">
        <f t="shared" si="20"/>
        <v>2106.1040000000003</v>
      </c>
      <c r="J666" s="86">
        <v>1364.18</v>
      </c>
      <c r="K666" s="86">
        <f t="shared" si="21"/>
        <v>741.92400000000021</v>
      </c>
      <c r="L666" s="87" t="s">
        <v>63</v>
      </c>
      <c r="M666" s="87" t="s">
        <v>68</v>
      </c>
      <c r="N666" s="88" t="s">
        <v>71</v>
      </c>
    </row>
    <row r="667" spans="1:14">
      <c r="A667" s="81">
        <v>45770</v>
      </c>
      <c r="B667" s="82" t="s">
        <v>735</v>
      </c>
      <c r="C667" s="82" t="s">
        <v>31</v>
      </c>
      <c r="D667" s="82" t="s">
        <v>27</v>
      </c>
      <c r="E667" s="82" t="s">
        <v>25</v>
      </c>
      <c r="F667" s="83">
        <v>5</v>
      </c>
      <c r="G667" s="84">
        <v>1256.28</v>
      </c>
      <c r="H667" s="85">
        <v>0.1</v>
      </c>
      <c r="I667" s="86">
        <f t="shared" si="20"/>
        <v>5653.26</v>
      </c>
      <c r="J667" s="86">
        <v>4271.3500000000004</v>
      </c>
      <c r="K667" s="86">
        <f t="shared" si="21"/>
        <v>1381.9099999999999</v>
      </c>
      <c r="L667" s="87" t="s">
        <v>67</v>
      </c>
      <c r="M667" s="87" t="s">
        <v>64</v>
      </c>
      <c r="N667" s="88" t="s">
        <v>78</v>
      </c>
    </row>
    <row r="668" spans="1:14">
      <c r="A668" s="81">
        <v>45771</v>
      </c>
      <c r="B668" s="82" t="s">
        <v>736</v>
      </c>
      <c r="C668" s="82" t="s">
        <v>36</v>
      </c>
      <c r="D668" s="82" t="s">
        <v>27</v>
      </c>
      <c r="E668" s="82" t="s">
        <v>35</v>
      </c>
      <c r="F668" s="83">
        <v>8</v>
      </c>
      <c r="G668" s="84">
        <v>413.17</v>
      </c>
      <c r="H668" s="85">
        <v>0.08</v>
      </c>
      <c r="I668" s="86">
        <f t="shared" si="20"/>
        <v>3040.9312000000004</v>
      </c>
      <c r="J668" s="86">
        <v>1983.22</v>
      </c>
      <c r="K668" s="86">
        <f t="shared" si="21"/>
        <v>1057.7112000000004</v>
      </c>
      <c r="L668" s="87" t="s">
        <v>63</v>
      </c>
      <c r="M668" s="87" t="s">
        <v>64</v>
      </c>
      <c r="N668" s="88" t="s">
        <v>61</v>
      </c>
    </row>
    <row r="669" spans="1:14">
      <c r="A669" s="81">
        <v>45772</v>
      </c>
      <c r="B669" s="82" t="s">
        <v>737</v>
      </c>
      <c r="C669" s="82" t="s">
        <v>36</v>
      </c>
      <c r="D669" s="82" t="s">
        <v>27</v>
      </c>
      <c r="E669" s="82" t="s">
        <v>35</v>
      </c>
      <c r="F669" s="83">
        <v>2</v>
      </c>
      <c r="G669" s="84">
        <v>397.97</v>
      </c>
      <c r="H669" s="85">
        <v>0.03</v>
      </c>
      <c r="I669" s="86">
        <f t="shared" si="20"/>
        <v>772.06180000000006</v>
      </c>
      <c r="J669" s="86">
        <v>477.56</v>
      </c>
      <c r="K669" s="86">
        <f t="shared" si="21"/>
        <v>294.50180000000006</v>
      </c>
      <c r="L669" s="87" t="s">
        <v>63</v>
      </c>
      <c r="M669" s="87" t="s">
        <v>64</v>
      </c>
      <c r="N669" s="88" t="s">
        <v>78</v>
      </c>
    </row>
    <row r="670" spans="1:14">
      <c r="A670" s="81">
        <v>45772</v>
      </c>
      <c r="B670" s="82" t="s">
        <v>738</v>
      </c>
      <c r="C670" s="82" t="s">
        <v>31</v>
      </c>
      <c r="D670" s="82" t="s">
        <v>32</v>
      </c>
      <c r="E670" s="82" t="s">
        <v>46</v>
      </c>
      <c r="F670" s="83">
        <v>9</v>
      </c>
      <c r="G670" s="84">
        <v>101.23</v>
      </c>
      <c r="H670" s="85">
        <v>0.12</v>
      </c>
      <c r="I670" s="86">
        <f t="shared" si="20"/>
        <v>801.74160000000006</v>
      </c>
      <c r="J670" s="86">
        <v>437.31</v>
      </c>
      <c r="K670" s="86">
        <f t="shared" si="21"/>
        <v>364.43160000000006</v>
      </c>
      <c r="L670" s="87" t="s">
        <v>63</v>
      </c>
      <c r="M670" s="87" t="s">
        <v>68</v>
      </c>
      <c r="N670" s="88" t="s">
        <v>78</v>
      </c>
    </row>
    <row r="671" spans="1:14">
      <c r="A671" s="81">
        <v>45773</v>
      </c>
      <c r="B671" s="82" t="s">
        <v>739</v>
      </c>
      <c r="C671" s="82" t="s">
        <v>26</v>
      </c>
      <c r="D671" s="82" t="s">
        <v>27</v>
      </c>
      <c r="E671" s="82" t="s">
        <v>25</v>
      </c>
      <c r="F671" s="83">
        <v>2</v>
      </c>
      <c r="G671" s="84">
        <v>1274.42</v>
      </c>
      <c r="H671" s="85">
        <v>0.12</v>
      </c>
      <c r="I671" s="86">
        <f t="shared" si="20"/>
        <v>2242.9792000000002</v>
      </c>
      <c r="J671" s="86">
        <v>1733.21</v>
      </c>
      <c r="K671" s="86">
        <f t="shared" si="21"/>
        <v>509.76920000000018</v>
      </c>
      <c r="L671" s="87" t="s">
        <v>59</v>
      </c>
      <c r="M671" s="87" t="s">
        <v>60</v>
      </c>
      <c r="N671" s="88" t="s">
        <v>74</v>
      </c>
    </row>
    <row r="672" spans="1:14">
      <c r="A672" s="81">
        <v>45773</v>
      </c>
      <c r="B672" s="82" t="s">
        <v>740</v>
      </c>
      <c r="C672" s="82" t="s">
        <v>40</v>
      </c>
      <c r="D672" s="82" t="s">
        <v>27</v>
      </c>
      <c r="E672" s="82" t="s">
        <v>30</v>
      </c>
      <c r="F672" s="83">
        <v>8</v>
      </c>
      <c r="G672" s="84">
        <v>675.81</v>
      </c>
      <c r="H672" s="85">
        <v>0.1</v>
      </c>
      <c r="I672" s="86">
        <f t="shared" si="20"/>
        <v>4865.8319999999994</v>
      </c>
      <c r="J672" s="86">
        <v>3460.15</v>
      </c>
      <c r="K672" s="86">
        <f t="shared" si="21"/>
        <v>1405.6819999999993</v>
      </c>
      <c r="L672" s="87" t="s">
        <v>67</v>
      </c>
      <c r="M672" s="87" t="s">
        <v>60</v>
      </c>
      <c r="N672" s="88" t="s">
        <v>71</v>
      </c>
    </row>
    <row r="673" spans="1:14">
      <c r="A673" s="81">
        <v>45775</v>
      </c>
      <c r="B673" s="82" t="s">
        <v>741</v>
      </c>
      <c r="C673" s="82" t="s">
        <v>31</v>
      </c>
      <c r="D673" s="82" t="s">
        <v>37</v>
      </c>
      <c r="E673" s="82" t="s">
        <v>48</v>
      </c>
      <c r="F673" s="83">
        <v>8</v>
      </c>
      <c r="G673" s="84">
        <v>75.040000000000006</v>
      </c>
      <c r="H673" s="85">
        <v>0.12</v>
      </c>
      <c r="I673" s="86">
        <f t="shared" si="20"/>
        <v>528.28160000000003</v>
      </c>
      <c r="J673" s="86">
        <v>252.13</v>
      </c>
      <c r="K673" s="86">
        <f t="shared" si="21"/>
        <v>276.15160000000003</v>
      </c>
      <c r="L673" s="87" t="s">
        <v>67</v>
      </c>
      <c r="M673" s="87" t="s">
        <v>68</v>
      </c>
      <c r="N673" s="88" t="s">
        <v>65</v>
      </c>
    </row>
    <row r="674" spans="1:14">
      <c r="A674" s="81">
        <v>45776</v>
      </c>
      <c r="B674" s="82" t="s">
        <v>742</v>
      </c>
      <c r="C674" s="82" t="s">
        <v>40</v>
      </c>
      <c r="D674" s="82" t="s">
        <v>37</v>
      </c>
      <c r="E674" s="82" t="s">
        <v>48</v>
      </c>
      <c r="F674" s="83">
        <v>5</v>
      </c>
      <c r="G674" s="84">
        <v>72.52</v>
      </c>
      <c r="H674" s="85">
        <v>0.1</v>
      </c>
      <c r="I674" s="86">
        <f t="shared" si="20"/>
        <v>326.33999999999997</v>
      </c>
      <c r="J674" s="86">
        <v>152.29</v>
      </c>
      <c r="K674" s="86">
        <f t="shared" si="21"/>
        <v>174.04999999999998</v>
      </c>
      <c r="L674" s="87" t="s">
        <v>63</v>
      </c>
      <c r="M674" s="87" t="s">
        <v>64</v>
      </c>
      <c r="N674" s="88" t="s">
        <v>71</v>
      </c>
    </row>
    <row r="675" spans="1:14">
      <c r="A675" s="81">
        <v>45777</v>
      </c>
      <c r="B675" s="82" t="s">
        <v>743</v>
      </c>
      <c r="C675" s="82" t="s">
        <v>36</v>
      </c>
      <c r="D675" s="82" t="s">
        <v>37</v>
      </c>
      <c r="E675" s="82" t="s">
        <v>48</v>
      </c>
      <c r="F675" s="83">
        <v>6</v>
      </c>
      <c r="G675" s="84">
        <v>78.45</v>
      </c>
      <c r="H675" s="85">
        <v>0</v>
      </c>
      <c r="I675" s="86">
        <f t="shared" si="20"/>
        <v>470.70000000000005</v>
      </c>
      <c r="J675" s="86">
        <v>197.69</v>
      </c>
      <c r="K675" s="86">
        <f t="shared" si="21"/>
        <v>273.01000000000005</v>
      </c>
      <c r="L675" s="87" t="s">
        <v>59</v>
      </c>
      <c r="M675" s="87" t="s">
        <v>68</v>
      </c>
      <c r="N675" s="88" t="s">
        <v>69</v>
      </c>
    </row>
    <row r="676" spans="1:14">
      <c r="A676" s="81">
        <v>45777</v>
      </c>
      <c r="B676" s="82" t="s">
        <v>744</v>
      </c>
      <c r="C676" s="82" t="s">
        <v>40</v>
      </c>
      <c r="D676" s="82" t="s">
        <v>32</v>
      </c>
      <c r="E676" s="82" t="s">
        <v>42</v>
      </c>
      <c r="F676" s="83">
        <v>3</v>
      </c>
      <c r="G676" s="84">
        <v>840.65</v>
      </c>
      <c r="H676" s="85">
        <v>0.03</v>
      </c>
      <c r="I676" s="86">
        <f t="shared" si="20"/>
        <v>2446.2914999999998</v>
      </c>
      <c r="J676" s="86">
        <v>1538.39</v>
      </c>
      <c r="K676" s="86">
        <f t="shared" si="21"/>
        <v>907.90149999999971</v>
      </c>
      <c r="L676" s="87" t="s">
        <v>67</v>
      </c>
      <c r="M676" s="87" t="s">
        <v>64</v>
      </c>
      <c r="N676" s="88" t="s">
        <v>78</v>
      </c>
    </row>
    <row r="677" spans="1:14">
      <c r="A677" s="81">
        <v>45777</v>
      </c>
      <c r="B677" s="82" t="s">
        <v>745</v>
      </c>
      <c r="C677" s="82" t="s">
        <v>31</v>
      </c>
      <c r="D677" s="82" t="s">
        <v>37</v>
      </c>
      <c r="E677" s="82" t="s">
        <v>48</v>
      </c>
      <c r="F677" s="83">
        <v>4</v>
      </c>
      <c r="G677" s="84">
        <v>73.7</v>
      </c>
      <c r="H677" s="85">
        <v>0</v>
      </c>
      <c r="I677" s="86">
        <f t="shared" si="20"/>
        <v>294.8</v>
      </c>
      <c r="J677" s="86">
        <v>123.82</v>
      </c>
      <c r="K677" s="86">
        <f t="shared" si="21"/>
        <v>170.98000000000002</v>
      </c>
      <c r="L677" s="87" t="s">
        <v>63</v>
      </c>
      <c r="M677" s="87" t="s">
        <v>68</v>
      </c>
      <c r="N677" s="88" t="s">
        <v>61</v>
      </c>
    </row>
    <row r="678" spans="1:14">
      <c r="A678" s="81">
        <v>45777</v>
      </c>
      <c r="B678" s="82" t="s">
        <v>746</v>
      </c>
      <c r="C678" s="82" t="s">
        <v>40</v>
      </c>
      <c r="D678" s="82" t="s">
        <v>27</v>
      </c>
      <c r="E678" s="82" t="s">
        <v>25</v>
      </c>
      <c r="F678" s="83">
        <v>8</v>
      </c>
      <c r="G678" s="84">
        <v>1319.35</v>
      </c>
      <c r="H678" s="85">
        <v>0.12</v>
      </c>
      <c r="I678" s="86">
        <f t="shared" si="20"/>
        <v>9288.2240000000002</v>
      </c>
      <c r="J678" s="86">
        <v>7177.26</v>
      </c>
      <c r="K678" s="86">
        <f t="shared" si="21"/>
        <v>2110.9639999999999</v>
      </c>
      <c r="L678" s="87" t="s">
        <v>63</v>
      </c>
      <c r="M678" s="87" t="s">
        <v>60</v>
      </c>
      <c r="N678" s="88" t="s">
        <v>69</v>
      </c>
    </row>
    <row r="679" spans="1:14">
      <c r="A679" s="81">
        <v>45778</v>
      </c>
      <c r="B679" s="82" t="s">
        <v>747</v>
      </c>
      <c r="C679" s="82" t="s">
        <v>26</v>
      </c>
      <c r="D679" s="82" t="s">
        <v>32</v>
      </c>
      <c r="E679" s="82" t="s">
        <v>46</v>
      </c>
      <c r="F679" s="83">
        <v>9</v>
      </c>
      <c r="G679" s="84">
        <v>101.8</v>
      </c>
      <c r="H679" s="85">
        <v>0.1</v>
      </c>
      <c r="I679" s="86">
        <f t="shared" si="20"/>
        <v>824.57999999999993</v>
      </c>
      <c r="J679" s="86">
        <v>439.78</v>
      </c>
      <c r="K679" s="86">
        <f t="shared" si="21"/>
        <v>384.79999999999995</v>
      </c>
      <c r="L679" s="87" t="s">
        <v>63</v>
      </c>
      <c r="M679" s="87" t="s">
        <v>60</v>
      </c>
      <c r="N679" s="88" t="s">
        <v>65</v>
      </c>
    </row>
    <row r="680" spans="1:14">
      <c r="A680" s="81">
        <v>45778</v>
      </c>
      <c r="B680" s="82" t="s">
        <v>748</v>
      </c>
      <c r="C680" s="82" t="s">
        <v>36</v>
      </c>
      <c r="D680" s="82" t="s">
        <v>27</v>
      </c>
      <c r="E680" s="82" t="s">
        <v>30</v>
      </c>
      <c r="F680" s="83">
        <v>4</v>
      </c>
      <c r="G680" s="84">
        <v>665.8</v>
      </c>
      <c r="H680" s="85">
        <v>0.03</v>
      </c>
      <c r="I680" s="86">
        <f t="shared" si="20"/>
        <v>2583.3039999999996</v>
      </c>
      <c r="J680" s="86">
        <v>1704.45</v>
      </c>
      <c r="K680" s="86">
        <f t="shared" si="21"/>
        <v>878.85399999999959</v>
      </c>
      <c r="L680" s="87" t="s">
        <v>59</v>
      </c>
      <c r="M680" s="87" t="s">
        <v>60</v>
      </c>
      <c r="N680" s="88" t="s">
        <v>61</v>
      </c>
    </row>
    <row r="681" spans="1:14">
      <c r="A681" s="81">
        <v>45779</v>
      </c>
      <c r="B681" s="82" t="s">
        <v>749</v>
      </c>
      <c r="C681" s="82" t="s">
        <v>31</v>
      </c>
      <c r="D681" s="82" t="s">
        <v>27</v>
      </c>
      <c r="E681" s="82" t="s">
        <v>30</v>
      </c>
      <c r="F681" s="83">
        <v>3</v>
      </c>
      <c r="G681" s="84">
        <v>691.25</v>
      </c>
      <c r="H681" s="85">
        <v>0.1</v>
      </c>
      <c r="I681" s="86">
        <f t="shared" si="20"/>
        <v>1866.375</v>
      </c>
      <c r="J681" s="86">
        <v>1327.2</v>
      </c>
      <c r="K681" s="86">
        <f t="shared" si="21"/>
        <v>539.17499999999995</v>
      </c>
      <c r="L681" s="87" t="s">
        <v>59</v>
      </c>
      <c r="M681" s="87" t="s">
        <v>64</v>
      </c>
      <c r="N681" s="88" t="s">
        <v>71</v>
      </c>
    </row>
    <row r="682" spans="1:14">
      <c r="A682" s="81">
        <v>45782</v>
      </c>
      <c r="B682" s="82" t="s">
        <v>750</v>
      </c>
      <c r="C682" s="82" t="s">
        <v>31</v>
      </c>
      <c r="D682" s="82" t="s">
        <v>32</v>
      </c>
      <c r="E682" s="82" t="s">
        <v>46</v>
      </c>
      <c r="F682" s="83">
        <v>4</v>
      </c>
      <c r="G682" s="84">
        <v>107.94</v>
      </c>
      <c r="H682" s="85">
        <v>0.12</v>
      </c>
      <c r="I682" s="86">
        <f t="shared" si="20"/>
        <v>379.94880000000001</v>
      </c>
      <c r="J682" s="86">
        <v>207.24</v>
      </c>
      <c r="K682" s="86">
        <f t="shared" si="21"/>
        <v>172.7088</v>
      </c>
      <c r="L682" s="87" t="s">
        <v>67</v>
      </c>
      <c r="M682" s="87" t="s">
        <v>60</v>
      </c>
      <c r="N682" s="88" t="s">
        <v>69</v>
      </c>
    </row>
    <row r="683" spans="1:14">
      <c r="A683" s="81">
        <v>45782</v>
      </c>
      <c r="B683" s="82" t="s">
        <v>751</v>
      </c>
      <c r="C683" s="82" t="s">
        <v>40</v>
      </c>
      <c r="D683" s="82" t="s">
        <v>32</v>
      </c>
      <c r="E683" s="82" t="s">
        <v>46</v>
      </c>
      <c r="F683" s="83">
        <v>4</v>
      </c>
      <c r="G683" s="84">
        <v>105.47</v>
      </c>
      <c r="H683" s="85">
        <v>0.08</v>
      </c>
      <c r="I683" s="86">
        <f t="shared" si="20"/>
        <v>388.12960000000004</v>
      </c>
      <c r="J683" s="86">
        <v>202.5</v>
      </c>
      <c r="K683" s="86">
        <f t="shared" si="21"/>
        <v>185.62960000000004</v>
      </c>
      <c r="L683" s="87" t="s">
        <v>59</v>
      </c>
      <c r="M683" s="87" t="s">
        <v>64</v>
      </c>
      <c r="N683" s="88" t="s">
        <v>61</v>
      </c>
    </row>
    <row r="684" spans="1:14">
      <c r="A684" s="81">
        <v>45783</v>
      </c>
      <c r="B684" s="82" t="s">
        <v>752</v>
      </c>
      <c r="C684" s="82" t="s">
        <v>36</v>
      </c>
      <c r="D684" s="82" t="s">
        <v>32</v>
      </c>
      <c r="E684" s="82" t="s">
        <v>42</v>
      </c>
      <c r="F684" s="83">
        <v>2</v>
      </c>
      <c r="G684" s="84">
        <v>845.99</v>
      </c>
      <c r="H684" s="85">
        <v>0.03</v>
      </c>
      <c r="I684" s="86">
        <f t="shared" si="20"/>
        <v>1641.2205999999999</v>
      </c>
      <c r="J684" s="86">
        <v>1032.1099999999999</v>
      </c>
      <c r="K684" s="86">
        <f t="shared" si="21"/>
        <v>609.11059999999998</v>
      </c>
      <c r="L684" s="87" t="s">
        <v>67</v>
      </c>
      <c r="M684" s="87" t="s">
        <v>64</v>
      </c>
      <c r="N684" s="88" t="s">
        <v>78</v>
      </c>
    </row>
    <row r="685" spans="1:14">
      <c r="A685" s="81">
        <v>45783</v>
      </c>
      <c r="B685" s="82" t="s">
        <v>753</v>
      </c>
      <c r="C685" s="82" t="s">
        <v>31</v>
      </c>
      <c r="D685" s="82" t="s">
        <v>32</v>
      </c>
      <c r="E685" s="82" t="s">
        <v>42</v>
      </c>
      <c r="F685" s="83">
        <v>9</v>
      </c>
      <c r="G685" s="84">
        <v>835.43</v>
      </c>
      <c r="H685" s="85">
        <v>0.12</v>
      </c>
      <c r="I685" s="86">
        <f t="shared" si="20"/>
        <v>6616.6055999999999</v>
      </c>
      <c r="J685" s="86">
        <v>4586.51</v>
      </c>
      <c r="K685" s="86">
        <f t="shared" si="21"/>
        <v>2030.0955999999996</v>
      </c>
      <c r="L685" s="87" t="s">
        <v>59</v>
      </c>
      <c r="M685" s="87" t="s">
        <v>68</v>
      </c>
      <c r="N685" s="88" t="s">
        <v>78</v>
      </c>
    </row>
    <row r="686" spans="1:14">
      <c r="A686" s="81">
        <v>45785</v>
      </c>
      <c r="B686" s="82" t="s">
        <v>754</v>
      </c>
      <c r="C686" s="82" t="s">
        <v>26</v>
      </c>
      <c r="D686" s="82" t="s">
        <v>32</v>
      </c>
      <c r="E686" s="82" t="s">
        <v>46</v>
      </c>
      <c r="F686" s="83">
        <v>7</v>
      </c>
      <c r="G686" s="84">
        <v>108.7</v>
      </c>
      <c r="H686" s="85">
        <v>0.03</v>
      </c>
      <c r="I686" s="86">
        <f t="shared" si="20"/>
        <v>738.07299999999998</v>
      </c>
      <c r="J686" s="86">
        <v>365.23</v>
      </c>
      <c r="K686" s="86">
        <f t="shared" si="21"/>
        <v>372.84299999999996</v>
      </c>
      <c r="L686" s="87" t="s">
        <v>67</v>
      </c>
      <c r="M686" s="87" t="s">
        <v>60</v>
      </c>
      <c r="N686" s="88" t="s">
        <v>74</v>
      </c>
    </row>
    <row r="687" spans="1:14">
      <c r="A687" s="81">
        <v>45786</v>
      </c>
      <c r="B687" s="82" t="s">
        <v>755</v>
      </c>
      <c r="C687" s="82" t="s">
        <v>36</v>
      </c>
      <c r="D687" s="82" t="s">
        <v>37</v>
      </c>
      <c r="E687" s="82" t="s">
        <v>47</v>
      </c>
      <c r="F687" s="83">
        <v>3</v>
      </c>
      <c r="G687" s="84">
        <v>131.71</v>
      </c>
      <c r="H687" s="85">
        <v>0.1</v>
      </c>
      <c r="I687" s="86">
        <f t="shared" si="20"/>
        <v>355.61700000000002</v>
      </c>
      <c r="J687" s="86">
        <v>181.76</v>
      </c>
      <c r="K687" s="86">
        <f t="shared" si="21"/>
        <v>173.85700000000003</v>
      </c>
      <c r="L687" s="87" t="s">
        <v>59</v>
      </c>
      <c r="M687" s="87" t="s">
        <v>64</v>
      </c>
      <c r="N687" s="88" t="s">
        <v>78</v>
      </c>
    </row>
    <row r="688" spans="1:14">
      <c r="A688" s="81">
        <v>45786</v>
      </c>
      <c r="B688" s="82" t="s">
        <v>756</v>
      </c>
      <c r="C688" s="82" t="s">
        <v>31</v>
      </c>
      <c r="D688" s="82" t="s">
        <v>32</v>
      </c>
      <c r="E688" s="82" t="s">
        <v>39</v>
      </c>
      <c r="F688" s="83">
        <v>1</v>
      </c>
      <c r="G688" s="84">
        <v>479.48</v>
      </c>
      <c r="H688" s="85">
        <v>0.12</v>
      </c>
      <c r="I688" s="86">
        <f t="shared" si="20"/>
        <v>421.94240000000002</v>
      </c>
      <c r="J688" s="86">
        <v>273.3</v>
      </c>
      <c r="K688" s="86">
        <f t="shared" si="21"/>
        <v>148.64240000000001</v>
      </c>
      <c r="L688" s="87" t="s">
        <v>63</v>
      </c>
      <c r="M688" s="87" t="s">
        <v>64</v>
      </c>
      <c r="N688" s="88" t="s">
        <v>65</v>
      </c>
    </row>
    <row r="689" spans="1:14">
      <c r="A689" s="81">
        <v>45786</v>
      </c>
      <c r="B689" s="82" t="s">
        <v>757</v>
      </c>
      <c r="C689" s="82" t="s">
        <v>31</v>
      </c>
      <c r="D689" s="82" t="s">
        <v>27</v>
      </c>
      <c r="E689" s="82" t="s">
        <v>25</v>
      </c>
      <c r="F689" s="83">
        <v>5</v>
      </c>
      <c r="G689" s="84">
        <v>1257.25</v>
      </c>
      <c r="H689" s="85">
        <v>0.1</v>
      </c>
      <c r="I689" s="86">
        <f t="shared" si="20"/>
        <v>5657.625</v>
      </c>
      <c r="J689" s="86">
        <v>4274.6499999999996</v>
      </c>
      <c r="K689" s="86">
        <f t="shared" si="21"/>
        <v>1382.9750000000004</v>
      </c>
      <c r="L689" s="87" t="s">
        <v>59</v>
      </c>
      <c r="M689" s="87" t="s">
        <v>68</v>
      </c>
      <c r="N689" s="88" t="s">
        <v>65</v>
      </c>
    </row>
    <row r="690" spans="1:14">
      <c r="A690" s="81">
        <v>45788</v>
      </c>
      <c r="B690" s="82" t="s">
        <v>758</v>
      </c>
      <c r="C690" s="82" t="s">
        <v>40</v>
      </c>
      <c r="D690" s="82" t="s">
        <v>32</v>
      </c>
      <c r="E690" s="82" t="s">
        <v>42</v>
      </c>
      <c r="F690" s="83">
        <v>1</v>
      </c>
      <c r="G690" s="84">
        <v>840.28</v>
      </c>
      <c r="H690" s="85">
        <v>0.1</v>
      </c>
      <c r="I690" s="86">
        <f t="shared" si="20"/>
        <v>756.25199999999995</v>
      </c>
      <c r="J690" s="86">
        <v>512.57000000000005</v>
      </c>
      <c r="K690" s="86">
        <f t="shared" si="21"/>
        <v>243.6819999999999</v>
      </c>
      <c r="L690" s="87" t="s">
        <v>59</v>
      </c>
      <c r="M690" s="87" t="s">
        <v>60</v>
      </c>
      <c r="N690" s="88" t="s">
        <v>69</v>
      </c>
    </row>
    <row r="691" spans="1:14">
      <c r="A691" s="81">
        <v>45788</v>
      </c>
      <c r="B691" s="82" t="s">
        <v>759</v>
      </c>
      <c r="C691" s="82" t="s">
        <v>31</v>
      </c>
      <c r="D691" s="82" t="s">
        <v>37</v>
      </c>
      <c r="E691" s="82" t="s">
        <v>47</v>
      </c>
      <c r="F691" s="83">
        <v>6</v>
      </c>
      <c r="G691" s="84">
        <v>125.99</v>
      </c>
      <c r="H691" s="85">
        <v>0.08</v>
      </c>
      <c r="I691" s="86">
        <f t="shared" si="20"/>
        <v>695.46479999999997</v>
      </c>
      <c r="J691" s="86">
        <v>347.73</v>
      </c>
      <c r="K691" s="86">
        <f t="shared" si="21"/>
        <v>347.73479999999995</v>
      </c>
      <c r="L691" s="87" t="s">
        <v>63</v>
      </c>
      <c r="M691" s="87" t="s">
        <v>60</v>
      </c>
      <c r="N691" s="88" t="s">
        <v>71</v>
      </c>
    </row>
    <row r="692" spans="1:14">
      <c r="A692" s="81">
        <v>45791</v>
      </c>
      <c r="B692" s="82" t="s">
        <v>760</v>
      </c>
      <c r="C692" s="82" t="s">
        <v>40</v>
      </c>
      <c r="D692" s="82" t="s">
        <v>32</v>
      </c>
      <c r="E692" s="82" t="s">
        <v>42</v>
      </c>
      <c r="F692" s="83">
        <v>8</v>
      </c>
      <c r="G692" s="84">
        <v>806.87</v>
      </c>
      <c r="H692" s="85">
        <v>0.03</v>
      </c>
      <c r="I692" s="86">
        <f t="shared" si="20"/>
        <v>6261.3112000000001</v>
      </c>
      <c r="J692" s="86">
        <v>3937.53</v>
      </c>
      <c r="K692" s="86">
        <f t="shared" si="21"/>
        <v>2323.7811999999999</v>
      </c>
      <c r="L692" s="87" t="s">
        <v>67</v>
      </c>
      <c r="M692" s="87" t="s">
        <v>64</v>
      </c>
      <c r="N692" s="88" t="s">
        <v>61</v>
      </c>
    </row>
    <row r="693" spans="1:14">
      <c r="A693" s="81">
        <v>45791</v>
      </c>
      <c r="B693" s="82" t="s">
        <v>761</v>
      </c>
      <c r="C693" s="82" t="s">
        <v>36</v>
      </c>
      <c r="D693" s="82" t="s">
        <v>32</v>
      </c>
      <c r="E693" s="82" t="s">
        <v>42</v>
      </c>
      <c r="F693" s="83">
        <v>6</v>
      </c>
      <c r="G693" s="84">
        <v>805.5</v>
      </c>
      <c r="H693" s="85">
        <v>0.12</v>
      </c>
      <c r="I693" s="86">
        <f t="shared" si="20"/>
        <v>4253.04</v>
      </c>
      <c r="J693" s="86">
        <v>2948.13</v>
      </c>
      <c r="K693" s="86">
        <f t="shared" si="21"/>
        <v>1304.9099999999999</v>
      </c>
      <c r="L693" s="87" t="s">
        <v>63</v>
      </c>
      <c r="M693" s="87" t="s">
        <v>60</v>
      </c>
      <c r="N693" s="88" t="s">
        <v>65</v>
      </c>
    </row>
    <row r="694" spans="1:14">
      <c r="A694" s="81">
        <v>45794</v>
      </c>
      <c r="B694" s="82" t="s">
        <v>762</v>
      </c>
      <c r="C694" s="82" t="s">
        <v>31</v>
      </c>
      <c r="D694" s="82" t="s">
        <v>32</v>
      </c>
      <c r="E694" s="82" t="s">
        <v>46</v>
      </c>
      <c r="F694" s="83">
        <v>13</v>
      </c>
      <c r="G694" s="84">
        <v>104.63</v>
      </c>
      <c r="H694" s="85">
        <v>0.03</v>
      </c>
      <c r="I694" s="86">
        <f t="shared" si="20"/>
        <v>1319.3842999999999</v>
      </c>
      <c r="J694" s="86">
        <v>652.89</v>
      </c>
      <c r="K694" s="86">
        <f t="shared" si="21"/>
        <v>666.49429999999995</v>
      </c>
      <c r="L694" s="87" t="s">
        <v>59</v>
      </c>
      <c r="M694" s="87" t="s">
        <v>68</v>
      </c>
      <c r="N694" s="88" t="s">
        <v>74</v>
      </c>
    </row>
    <row r="695" spans="1:14">
      <c r="A695" s="81">
        <v>45795</v>
      </c>
      <c r="B695" s="82" t="s">
        <v>763</v>
      </c>
      <c r="C695" s="82" t="s">
        <v>31</v>
      </c>
      <c r="D695" s="82" t="s">
        <v>37</v>
      </c>
      <c r="E695" s="82" t="s">
        <v>48</v>
      </c>
      <c r="F695" s="83">
        <v>4</v>
      </c>
      <c r="G695" s="84">
        <v>71.88</v>
      </c>
      <c r="H695" s="85">
        <v>0.1</v>
      </c>
      <c r="I695" s="86">
        <f t="shared" si="20"/>
        <v>258.76799999999997</v>
      </c>
      <c r="J695" s="86">
        <v>120.76</v>
      </c>
      <c r="K695" s="86">
        <f t="shared" si="21"/>
        <v>138.00799999999998</v>
      </c>
      <c r="L695" s="87" t="s">
        <v>67</v>
      </c>
      <c r="M695" s="87" t="s">
        <v>64</v>
      </c>
      <c r="N695" s="88" t="s">
        <v>61</v>
      </c>
    </row>
    <row r="696" spans="1:14">
      <c r="A696" s="81">
        <v>45796</v>
      </c>
      <c r="B696" s="82" t="s">
        <v>764</v>
      </c>
      <c r="C696" s="82" t="s">
        <v>26</v>
      </c>
      <c r="D696" s="82" t="s">
        <v>27</v>
      </c>
      <c r="E696" s="82" t="s">
        <v>30</v>
      </c>
      <c r="F696" s="83">
        <v>5</v>
      </c>
      <c r="G696" s="84">
        <v>689.69</v>
      </c>
      <c r="H696" s="85">
        <v>0.1</v>
      </c>
      <c r="I696" s="86">
        <f t="shared" si="20"/>
        <v>3103.6050000000005</v>
      </c>
      <c r="J696" s="86">
        <v>2207.0100000000002</v>
      </c>
      <c r="K696" s="86">
        <f t="shared" si="21"/>
        <v>896.59500000000025</v>
      </c>
      <c r="L696" s="87" t="s">
        <v>63</v>
      </c>
      <c r="M696" s="87" t="s">
        <v>60</v>
      </c>
      <c r="N696" s="88" t="s">
        <v>69</v>
      </c>
    </row>
    <row r="697" spans="1:14">
      <c r="A697" s="81">
        <v>45797</v>
      </c>
      <c r="B697" s="82" t="s">
        <v>765</v>
      </c>
      <c r="C697" s="82" t="s">
        <v>40</v>
      </c>
      <c r="D697" s="82" t="s">
        <v>32</v>
      </c>
      <c r="E697" s="82" t="s">
        <v>42</v>
      </c>
      <c r="F697" s="83">
        <v>7</v>
      </c>
      <c r="G697" s="84">
        <v>875.91</v>
      </c>
      <c r="H697" s="85">
        <v>0.03</v>
      </c>
      <c r="I697" s="86">
        <f t="shared" si="20"/>
        <v>5947.4288999999999</v>
      </c>
      <c r="J697" s="86">
        <v>3740.14</v>
      </c>
      <c r="K697" s="86">
        <f t="shared" si="21"/>
        <v>2207.2889</v>
      </c>
      <c r="L697" s="87" t="s">
        <v>67</v>
      </c>
      <c r="M697" s="87" t="s">
        <v>60</v>
      </c>
      <c r="N697" s="88" t="s">
        <v>71</v>
      </c>
    </row>
    <row r="698" spans="1:14">
      <c r="A698" s="81">
        <v>45799</v>
      </c>
      <c r="B698" s="82" t="s">
        <v>766</v>
      </c>
      <c r="C698" s="82" t="s">
        <v>26</v>
      </c>
      <c r="D698" s="82" t="s">
        <v>37</v>
      </c>
      <c r="E698" s="82" t="s">
        <v>48</v>
      </c>
      <c r="F698" s="83">
        <v>9</v>
      </c>
      <c r="G698" s="84">
        <v>75.930000000000007</v>
      </c>
      <c r="H698" s="85">
        <v>0.05</v>
      </c>
      <c r="I698" s="86">
        <f t="shared" si="20"/>
        <v>649.20150000000012</v>
      </c>
      <c r="J698" s="86">
        <v>287.02</v>
      </c>
      <c r="K698" s="86">
        <f t="shared" si="21"/>
        <v>362.18150000000014</v>
      </c>
      <c r="L698" s="87" t="s">
        <v>63</v>
      </c>
      <c r="M698" s="87" t="s">
        <v>68</v>
      </c>
      <c r="N698" s="88" t="s">
        <v>71</v>
      </c>
    </row>
    <row r="699" spans="1:14">
      <c r="A699" s="81">
        <v>45800</v>
      </c>
      <c r="B699" s="82" t="s">
        <v>767</v>
      </c>
      <c r="C699" s="82" t="s">
        <v>40</v>
      </c>
      <c r="D699" s="82" t="s">
        <v>27</v>
      </c>
      <c r="E699" s="82" t="s">
        <v>35</v>
      </c>
      <c r="F699" s="83">
        <v>6</v>
      </c>
      <c r="G699" s="84">
        <v>405.68</v>
      </c>
      <c r="H699" s="85">
        <v>0</v>
      </c>
      <c r="I699" s="86">
        <f t="shared" si="20"/>
        <v>2434.08</v>
      </c>
      <c r="J699" s="86">
        <v>1460.45</v>
      </c>
      <c r="K699" s="86">
        <f t="shared" si="21"/>
        <v>973.62999999999988</v>
      </c>
      <c r="L699" s="87" t="s">
        <v>63</v>
      </c>
      <c r="M699" s="87" t="s">
        <v>60</v>
      </c>
      <c r="N699" s="88" t="s">
        <v>78</v>
      </c>
    </row>
    <row r="700" spans="1:14">
      <c r="A700" s="81">
        <v>45800</v>
      </c>
      <c r="B700" s="82" t="s">
        <v>768</v>
      </c>
      <c r="C700" s="82" t="s">
        <v>31</v>
      </c>
      <c r="D700" s="82" t="s">
        <v>27</v>
      </c>
      <c r="E700" s="82" t="s">
        <v>25</v>
      </c>
      <c r="F700" s="83">
        <v>3</v>
      </c>
      <c r="G700" s="84">
        <v>1326.78</v>
      </c>
      <c r="H700" s="85">
        <v>0.12</v>
      </c>
      <c r="I700" s="86">
        <f t="shared" si="20"/>
        <v>3502.6992</v>
      </c>
      <c r="J700" s="86">
        <v>2706.63</v>
      </c>
      <c r="K700" s="86">
        <f t="shared" si="21"/>
        <v>796.06919999999991</v>
      </c>
      <c r="L700" s="87" t="s">
        <v>67</v>
      </c>
      <c r="M700" s="87" t="s">
        <v>68</v>
      </c>
      <c r="N700" s="88" t="s">
        <v>78</v>
      </c>
    </row>
    <row r="701" spans="1:14">
      <c r="A701" s="81">
        <v>45801</v>
      </c>
      <c r="B701" s="82" t="s">
        <v>769</v>
      </c>
      <c r="C701" s="82" t="s">
        <v>31</v>
      </c>
      <c r="D701" s="82" t="s">
        <v>32</v>
      </c>
      <c r="E701" s="82" t="s">
        <v>39</v>
      </c>
      <c r="F701" s="83">
        <v>3</v>
      </c>
      <c r="G701" s="84">
        <v>496.35</v>
      </c>
      <c r="H701" s="85">
        <v>0.05</v>
      </c>
      <c r="I701" s="86">
        <f t="shared" si="20"/>
        <v>1414.5975000000001</v>
      </c>
      <c r="J701" s="86">
        <v>848.76</v>
      </c>
      <c r="K701" s="86">
        <f t="shared" si="21"/>
        <v>565.83750000000009</v>
      </c>
      <c r="L701" s="87" t="s">
        <v>59</v>
      </c>
      <c r="M701" s="87" t="s">
        <v>64</v>
      </c>
      <c r="N701" s="88" t="s">
        <v>71</v>
      </c>
    </row>
    <row r="702" spans="1:14">
      <c r="A702" s="81">
        <v>45803</v>
      </c>
      <c r="B702" s="82" t="s">
        <v>770</v>
      </c>
      <c r="C702" s="82" t="s">
        <v>26</v>
      </c>
      <c r="D702" s="82" t="s">
        <v>32</v>
      </c>
      <c r="E702" s="82" t="s">
        <v>39</v>
      </c>
      <c r="F702" s="83">
        <v>9</v>
      </c>
      <c r="G702" s="84">
        <v>454.15</v>
      </c>
      <c r="H702" s="85">
        <v>0.12</v>
      </c>
      <c r="I702" s="86">
        <f t="shared" si="20"/>
        <v>3596.8679999999999</v>
      </c>
      <c r="J702" s="86">
        <v>2329.79</v>
      </c>
      <c r="K702" s="86">
        <f t="shared" si="21"/>
        <v>1267.078</v>
      </c>
      <c r="L702" s="87" t="s">
        <v>59</v>
      </c>
      <c r="M702" s="87" t="s">
        <v>68</v>
      </c>
      <c r="N702" s="88" t="s">
        <v>69</v>
      </c>
    </row>
    <row r="703" spans="1:14">
      <c r="A703" s="81">
        <v>45803</v>
      </c>
      <c r="B703" s="82" t="s">
        <v>771</v>
      </c>
      <c r="C703" s="82" t="s">
        <v>26</v>
      </c>
      <c r="D703" s="82" t="s">
        <v>27</v>
      </c>
      <c r="E703" s="82" t="s">
        <v>30</v>
      </c>
      <c r="F703" s="83">
        <v>7</v>
      </c>
      <c r="G703" s="84">
        <v>715.71</v>
      </c>
      <c r="H703" s="85">
        <v>0.1</v>
      </c>
      <c r="I703" s="86">
        <f t="shared" si="20"/>
        <v>4508.973</v>
      </c>
      <c r="J703" s="86">
        <v>3206.38</v>
      </c>
      <c r="K703" s="86">
        <f t="shared" si="21"/>
        <v>1302.5929999999998</v>
      </c>
      <c r="L703" s="87" t="s">
        <v>67</v>
      </c>
      <c r="M703" s="87" t="s">
        <v>60</v>
      </c>
      <c r="N703" s="88" t="s">
        <v>61</v>
      </c>
    </row>
    <row r="704" spans="1:14">
      <c r="A704" s="81">
        <v>45808</v>
      </c>
      <c r="B704" s="82" t="s">
        <v>772</v>
      </c>
      <c r="C704" s="82" t="s">
        <v>40</v>
      </c>
      <c r="D704" s="82" t="s">
        <v>37</v>
      </c>
      <c r="E704" s="82" t="s">
        <v>48</v>
      </c>
      <c r="F704" s="83">
        <v>6</v>
      </c>
      <c r="G704" s="84">
        <v>74.510000000000005</v>
      </c>
      <c r="H704" s="85">
        <v>0.05</v>
      </c>
      <c r="I704" s="86">
        <f t="shared" si="20"/>
        <v>424.70700000000005</v>
      </c>
      <c r="J704" s="86">
        <v>187.77</v>
      </c>
      <c r="K704" s="86">
        <f t="shared" si="21"/>
        <v>236.93700000000004</v>
      </c>
      <c r="L704" s="87" t="s">
        <v>63</v>
      </c>
      <c r="M704" s="87" t="s">
        <v>64</v>
      </c>
      <c r="N704" s="88" t="s">
        <v>61</v>
      </c>
    </row>
    <row r="705" spans="1:14">
      <c r="A705" s="81">
        <v>45808</v>
      </c>
      <c r="B705" s="82" t="s">
        <v>773</v>
      </c>
      <c r="C705" s="82" t="s">
        <v>40</v>
      </c>
      <c r="D705" s="82" t="s">
        <v>37</v>
      </c>
      <c r="E705" s="82" t="s">
        <v>48</v>
      </c>
      <c r="F705" s="83">
        <v>13</v>
      </c>
      <c r="G705" s="84">
        <v>74.03</v>
      </c>
      <c r="H705" s="85">
        <v>0</v>
      </c>
      <c r="I705" s="86">
        <f t="shared" si="20"/>
        <v>962.39</v>
      </c>
      <c r="J705" s="86">
        <v>404.2</v>
      </c>
      <c r="K705" s="86">
        <f t="shared" si="21"/>
        <v>558.19000000000005</v>
      </c>
      <c r="L705" s="87" t="s">
        <v>63</v>
      </c>
      <c r="M705" s="87" t="s">
        <v>68</v>
      </c>
      <c r="N705" s="88" t="s">
        <v>74</v>
      </c>
    </row>
    <row r="706" spans="1:14">
      <c r="A706" s="81">
        <v>45808</v>
      </c>
      <c r="B706" s="82" t="s">
        <v>774</v>
      </c>
      <c r="C706" s="82" t="s">
        <v>26</v>
      </c>
      <c r="D706" s="82" t="s">
        <v>27</v>
      </c>
      <c r="E706" s="82" t="s">
        <v>35</v>
      </c>
      <c r="F706" s="83">
        <v>1</v>
      </c>
      <c r="G706" s="84">
        <v>404.21</v>
      </c>
      <c r="H706" s="85">
        <v>0.12</v>
      </c>
      <c r="I706" s="86">
        <f t="shared" ref="I706:I769" si="22">F706*G706*(1-H706)</f>
        <v>355.70479999999998</v>
      </c>
      <c r="J706" s="86">
        <v>242.53</v>
      </c>
      <c r="K706" s="86">
        <f t="shared" ref="K706:K769" si="23">I706-J706</f>
        <v>113.17479999999998</v>
      </c>
      <c r="L706" s="87" t="s">
        <v>59</v>
      </c>
      <c r="M706" s="87" t="s">
        <v>60</v>
      </c>
      <c r="N706" s="88" t="s">
        <v>69</v>
      </c>
    </row>
    <row r="707" spans="1:14">
      <c r="A707" s="81">
        <v>45809</v>
      </c>
      <c r="B707" s="82" t="s">
        <v>775</v>
      </c>
      <c r="C707" s="82" t="s">
        <v>31</v>
      </c>
      <c r="D707" s="82" t="s">
        <v>37</v>
      </c>
      <c r="E707" s="82" t="s">
        <v>48</v>
      </c>
      <c r="F707" s="83">
        <v>3</v>
      </c>
      <c r="G707" s="84">
        <v>73.41</v>
      </c>
      <c r="H707" s="85">
        <v>0.08</v>
      </c>
      <c r="I707" s="86">
        <f t="shared" si="22"/>
        <v>202.61160000000001</v>
      </c>
      <c r="J707" s="86">
        <v>92.5</v>
      </c>
      <c r="K707" s="86">
        <f t="shared" si="23"/>
        <v>110.11160000000001</v>
      </c>
      <c r="L707" s="87" t="s">
        <v>67</v>
      </c>
      <c r="M707" s="87" t="s">
        <v>60</v>
      </c>
      <c r="N707" s="88" t="s">
        <v>74</v>
      </c>
    </row>
    <row r="708" spans="1:14">
      <c r="A708" s="81">
        <v>45809</v>
      </c>
      <c r="B708" s="82" t="s">
        <v>776</v>
      </c>
      <c r="C708" s="82" t="s">
        <v>40</v>
      </c>
      <c r="D708" s="82" t="s">
        <v>32</v>
      </c>
      <c r="E708" s="82" t="s">
        <v>42</v>
      </c>
      <c r="F708" s="83">
        <v>5</v>
      </c>
      <c r="G708" s="84">
        <v>873.45</v>
      </c>
      <c r="H708" s="85">
        <v>0.05</v>
      </c>
      <c r="I708" s="86">
        <f t="shared" si="22"/>
        <v>4148.8874999999998</v>
      </c>
      <c r="J708" s="86">
        <v>2664.02</v>
      </c>
      <c r="K708" s="86">
        <f t="shared" si="23"/>
        <v>1484.8674999999998</v>
      </c>
      <c r="L708" s="87" t="s">
        <v>59</v>
      </c>
      <c r="M708" s="87" t="s">
        <v>60</v>
      </c>
      <c r="N708" s="88" t="s">
        <v>74</v>
      </c>
    </row>
    <row r="709" spans="1:14">
      <c r="A709" s="81">
        <v>45809</v>
      </c>
      <c r="B709" s="82" t="s">
        <v>777</v>
      </c>
      <c r="C709" s="82" t="s">
        <v>26</v>
      </c>
      <c r="D709" s="82" t="s">
        <v>32</v>
      </c>
      <c r="E709" s="82" t="s">
        <v>39</v>
      </c>
      <c r="F709" s="83">
        <v>1</v>
      </c>
      <c r="G709" s="84">
        <v>475.44</v>
      </c>
      <c r="H709" s="85">
        <v>0.03</v>
      </c>
      <c r="I709" s="86">
        <f t="shared" si="22"/>
        <v>461.17679999999996</v>
      </c>
      <c r="J709" s="86">
        <v>271</v>
      </c>
      <c r="K709" s="86">
        <f t="shared" si="23"/>
        <v>190.17679999999996</v>
      </c>
      <c r="L709" s="87" t="s">
        <v>63</v>
      </c>
      <c r="M709" s="87" t="s">
        <v>64</v>
      </c>
      <c r="N709" s="88" t="s">
        <v>61</v>
      </c>
    </row>
    <row r="710" spans="1:14">
      <c r="A710" s="81">
        <v>45810</v>
      </c>
      <c r="B710" s="82" t="s">
        <v>778</v>
      </c>
      <c r="C710" s="82" t="s">
        <v>40</v>
      </c>
      <c r="D710" s="82" t="s">
        <v>27</v>
      </c>
      <c r="E710" s="82" t="s">
        <v>35</v>
      </c>
      <c r="F710" s="83">
        <v>6</v>
      </c>
      <c r="G710" s="84">
        <v>414.2</v>
      </c>
      <c r="H710" s="85">
        <v>0.03</v>
      </c>
      <c r="I710" s="86">
        <f t="shared" si="22"/>
        <v>2410.6439999999998</v>
      </c>
      <c r="J710" s="86">
        <v>1491.12</v>
      </c>
      <c r="K710" s="86">
        <f t="shared" si="23"/>
        <v>919.52399999999989</v>
      </c>
      <c r="L710" s="87" t="s">
        <v>63</v>
      </c>
      <c r="M710" s="87" t="s">
        <v>64</v>
      </c>
      <c r="N710" s="88" t="s">
        <v>74</v>
      </c>
    </row>
    <row r="711" spans="1:14">
      <c r="A711" s="81">
        <v>45810</v>
      </c>
      <c r="B711" s="82" t="s">
        <v>779</v>
      </c>
      <c r="C711" s="82" t="s">
        <v>26</v>
      </c>
      <c r="D711" s="82" t="s">
        <v>32</v>
      </c>
      <c r="E711" s="82" t="s">
        <v>39</v>
      </c>
      <c r="F711" s="83">
        <v>4</v>
      </c>
      <c r="G711" s="84">
        <v>491.32</v>
      </c>
      <c r="H711" s="85">
        <v>0.12</v>
      </c>
      <c r="I711" s="86">
        <f t="shared" si="22"/>
        <v>1729.4464</v>
      </c>
      <c r="J711" s="86">
        <v>1120.21</v>
      </c>
      <c r="K711" s="86">
        <f t="shared" si="23"/>
        <v>609.2364</v>
      </c>
      <c r="L711" s="87" t="s">
        <v>67</v>
      </c>
      <c r="M711" s="87" t="s">
        <v>60</v>
      </c>
      <c r="N711" s="88" t="s">
        <v>65</v>
      </c>
    </row>
    <row r="712" spans="1:14">
      <c r="A712" s="81">
        <v>45810</v>
      </c>
      <c r="B712" s="82" t="s">
        <v>780</v>
      </c>
      <c r="C712" s="82" t="s">
        <v>36</v>
      </c>
      <c r="D712" s="82" t="s">
        <v>27</v>
      </c>
      <c r="E712" s="82" t="s">
        <v>35</v>
      </c>
      <c r="F712" s="83">
        <v>9</v>
      </c>
      <c r="G712" s="84">
        <v>391.37</v>
      </c>
      <c r="H712" s="85">
        <v>0.08</v>
      </c>
      <c r="I712" s="86">
        <f t="shared" si="22"/>
        <v>3240.5436</v>
      </c>
      <c r="J712" s="86">
        <v>2113.4</v>
      </c>
      <c r="K712" s="86">
        <f t="shared" si="23"/>
        <v>1127.1435999999999</v>
      </c>
      <c r="L712" s="87" t="s">
        <v>63</v>
      </c>
      <c r="M712" s="87" t="s">
        <v>68</v>
      </c>
      <c r="N712" s="88" t="s">
        <v>71</v>
      </c>
    </row>
    <row r="713" spans="1:14">
      <c r="A713" s="81">
        <v>45811</v>
      </c>
      <c r="B713" s="82" t="s">
        <v>781</v>
      </c>
      <c r="C713" s="82" t="s">
        <v>26</v>
      </c>
      <c r="D713" s="82" t="s">
        <v>27</v>
      </c>
      <c r="E713" s="82" t="s">
        <v>30</v>
      </c>
      <c r="F713" s="83">
        <v>4</v>
      </c>
      <c r="G713" s="84">
        <v>702.04</v>
      </c>
      <c r="H713" s="85">
        <v>0.08</v>
      </c>
      <c r="I713" s="86">
        <f t="shared" si="22"/>
        <v>2583.5072</v>
      </c>
      <c r="J713" s="86">
        <v>1797.22</v>
      </c>
      <c r="K713" s="86">
        <f t="shared" si="23"/>
        <v>786.28719999999998</v>
      </c>
      <c r="L713" s="87" t="s">
        <v>67</v>
      </c>
      <c r="M713" s="87" t="s">
        <v>60</v>
      </c>
      <c r="N713" s="88" t="s">
        <v>71</v>
      </c>
    </row>
    <row r="714" spans="1:14">
      <c r="A714" s="81">
        <v>45812</v>
      </c>
      <c r="B714" s="82" t="s">
        <v>782</v>
      </c>
      <c r="C714" s="82" t="s">
        <v>40</v>
      </c>
      <c r="D714" s="82" t="s">
        <v>37</v>
      </c>
      <c r="E714" s="82" t="s">
        <v>48</v>
      </c>
      <c r="F714" s="83">
        <v>12</v>
      </c>
      <c r="G714" s="84">
        <v>73.91</v>
      </c>
      <c r="H714" s="85">
        <v>0.1</v>
      </c>
      <c r="I714" s="86">
        <f t="shared" si="22"/>
        <v>798.22799999999995</v>
      </c>
      <c r="J714" s="86">
        <v>372.51</v>
      </c>
      <c r="K714" s="86">
        <f t="shared" si="23"/>
        <v>425.71799999999996</v>
      </c>
      <c r="L714" s="87" t="s">
        <v>67</v>
      </c>
      <c r="M714" s="87" t="s">
        <v>68</v>
      </c>
      <c r="N714" s="88" t="s">
        <v>69</v>
      </c>
    </row>
    <row r="715" spans="1:14">
      <c r="A715" s="81">
        <v>45813</v>
      </c>
      <c r="B715" s="82" t="s">
        <v>783</v>
      </c>
      <c r="C715" s="82" t="s">
        <v>36</v>
      </c>
      <c r="D715" s="82" t="s">
        <v>27</v>
      </c>
      <c r="E715" s="82" t="s">
        <v>35</v>
      </c>
      <c r="F715" s="83">
        <v>6</v>
      </c>
      <c r="G715" s="84">
        <v>412.19</v>
      </c>
      <c r="H715" s="85">
        <v>0.03</v>
      </c>
      <c r="I715" s="86">
        <f t="shared" si="22"/>
        <v>2398.9458</v>
      </c>
      <c r="J715" s="86">
        <v>1483.88</v>
      </c>
      <c r="K715" s="86">
        <f t="shared" si="23"/>
        <v>915.06579999999985</v>
      </c>
      <c r="L715" s="87" t="s">
        <v>63</v>
      </c>
      <c r="M715" s="87" t="s">
        <v>68</v>
      </c>
      <c r="N715" s="88" t="s">
        <v>65</v>
      </c>
    </row>
    <row r="716" spans="1:14">
      <c r="A716" s="81">
        <v>45814</v>
      </c>
      <c r="B716" s="82" t="s">
        <v>784</v>
      </c>
      <c r="C716" s="82" t="s">
        <v>40</v>
      </c>
      <c r="D716" s="82" t="s">
        <v>27</v>
      </c>
      <c r="E716" s="82" t="s">
        <v>35</v>
      </c>
      <c r="F716" s="83">
        <v>7</v>
      </c>
      <c r="G716" s="84">
        <v>383</v>
      </c>
      <c r="H716" s="85">
        <v>0.03</v>
      </c>
      <c r="I716" s="86">
        <f t="shared" si="22"/>
        <v>2600.5699999999997</v>
      </c>
      <c r="J716" s="86">
        <v>1608.6</v>
      </c>
      <c r="K716" s="86">
        <f t="shared" si="23"/>
        <v>991.9699999999998</v>
      </c>
      <c r="L716" s="87" t="s">
        <v>67</v>
      </c>
      <c r="M716" s="87" t="s">
        <v>64</v>
      </c>
      <c r="N716" s="88" t="s">
        <v>74</v>
      </c>
    </row>
    <row r="717" spans="1:14">
      <c r="A717" s="81">
        <v>45814</v>
      </c>
      <c r="B717" s="82" t="s">
        <v>785</v>
      </c>
      <c r="C717" s="82" t="s">
        <v>26</v>
      </c>
      <c r="D717" s="82" t="s">
        <v>27</v>
      </c>
      <c r="E717" s="82" t="s">
        <v>35</v>
      </c>
      <c r="F717" s="83">
        <v>8</v>
      </c>
      <c r="G717" s="84">
        <v>389.02</v>
      </c>
      <c r="H717" s="85">
        <v>0.08</v>
      </c>
      <c r="I717" s="86">
        <f t="shared" si="22"/>
        <v>2863.1871999999998</v>
      </c>
      <c r="J717" s="86">
        <v>1867.3</v>
      </c>
      <c r="K717" s="86">
        <f t="shared" si="23"/>
        <v>995.88719999999989</v>
      </c>
      <c r="L717" s="87" t="s">
        <v>67</v>
      </c>
      <c r="M717" s="87" t="s">
        <v>60</v>
      </c>
      <c r="N717" s="88" t="s">
        <v>78</v>
      </c>
    </row>
    <row r="718" spans="1:14">
      <c r="A718" s="81">
        <v>45815</v>
      </c>
      <c r="B718" s="82" t="s">
        <v>786</v>
      </c>
      <c r="C718" s="82" t="s">
        <v>40</v>
      </c>
      <c r="D718" s="82" t="s">
        <v>37</v>
      </c>
      <c r="E718" s="82" t="s">
        <v>47</v>
      </c>
      <c r="F718" s="83">
        <v>13</v>
      </c>
      <c r="G718" s="84">
        <v>136.38999999999999</v>
      </c>
      <c r="H718" s="85">
        <v>0.03</v>
      </c>
      <c r="I718" s="86">
        <f t="shared" si="22"/>
        <v>1719.8778999999997</v>
      </c>
      <c r="J718" s="86">
        <v>815.61</v>
      </c>
      <c r="K718" s="86">
        <f t="shared" si="23"/>
        <v>904.26789999999971</v>
      </c>
      <c r="L718" s="87" t="s">
        <v>67</v>
      </c>
      <c r="M718" s="87" t="s">
        <v>68</v>
      </c>
      <c r="N718" s="88" t="s">
        <v>65</v>
      </c>
    </row>
    <row r="719" spans="1:14">
      <c r="A719" s="81">
        <v>45816</v>
      </c>
      <c r="B719" s="82" t="s">
        <v>787</v>
      </c>
      <c r="C719" s="82" t="s">
        <v>31</v>
      </c>
      <c r="D719" s="82" t="s">
        <v>32</v>
      </c>
      <c r="E719" s="82" t="s">
        <v>46</v>
      </c>
      <c r="F719" s="83">
        <v>13</v>
      </c>
      <c r="G719" s="84">
        <v>100.76</v>
      </c>
      <c r="H719" s="85">
        <v>0.05</v>
      </c>
      <c r="I719" s="86">
        <f t="shared" si="22"/>
        <v>1244.386</v>
      </c>
      <c r="J719" s="86">
        <v>628.74</v>
      </c>
      <c r="K719" s="86">
        <f t="shared" si="23"/>
        <v>615.64599999999996</v>
      </c>
      <c r="L719" s="87" t="s">
        <v>59</v>
      </c>
      <c r="M719" s="87" t="s">
        <v>68</v>
      </c>
      <c r="N719" s="88" t="s">
        <v>71</v>
      </c>
    </row>
    <row r="720" spans="1:14">
      <c r="A720" s="81">
        <v>45816</v>
      </c>
      <c r="B720" s="82" t="s">
        <v>788</v>
      </c>
      <c r="C720" s="82" t="s">
        <v>26</v>
      </c>
      <c r="D720" s="82" t="s">
        <v>32</v>
      </c>
      <c r="E720" s="82" t="s">
        <v>42</v>
      </c>
      <c r="F720" s="83">
        <v>8</v>
      </c>
      <c r="G720" s="84">
        <v>844.6</v>
      </c>
      <c r="H720" s="85">
        <v>0.08</v>
      </c>
      <c r="I720" s="86">
        <f t="shared" si="22"/>
        <v>6216.2560000000003</v>
      </c>
      <c r="J720" s="86">
        <v>4121.6499999999996</v>
      </c>
      <c r="K720" s="86">
        <f t="shared" si="23"/>
        <v>2094.6060000000007</v>
      </c>
      <c r="L720" s="87" t="s">
        <v>59</v>
      </c>
      <c r="M720" s="87" t="s">
        <v>64</v>
      </c>
      <c r="N720" s="88" t="s">
        <v>74</v>
      </c>
    </row>
    <row r="721" spans="1:14">
      <c r="A721" s="81">
        <v>45816</v>
      </c>
      <c r="B721" s="82" t="s">
        <v>789</v>
      </c>
      <c r="C721" s="82" t="s">
        <v>31</v>
      </c>
      <c r="D721" s="82" t="s">
        <v>32</v>
      </c>
      <c r="E721" s="82" t="s">
        <v>46</v>
      </c>
      <c r="F721" s="83">
        <v>7</v>
      </c>
      <c r="G721" s="84">
        <v>107.89</v>
      </c>
      <c r="H721" s="85">
        <v>0.12</v>
      </c>
      <c r="I721" s="86">
        <f t="shared" si="22"/>
        <v>664.60239999999999</v>
      </c>
      <c r="J721" s="86">
        <v>362.51</v>
      </c>
      <c r="K721" s="86">
        <f t="shared" si="23"/>
        <v>302.0924</v>
      </c>
      <c r="L721" s="87" t="s">
        <v>67</v>
      </c>
      <c r="M721" s="87" t="s">
        <v>64</v>
      </c>
      <c r="N721" s="88" t="s">
        <v>65</v>
      </c>
    </row>
    <row r="722" spans="1:14">
      <c r="A722" s="81">
        <v>45817</v>
      </c>
      <c r="B722" s="82" t="s">
        <v>790</v>
      </c>
      <c r="C722" s="82" t="s">
        <v>26</v>
      </c>
      <c r="D722" s="82" t="s">
        <v>37</v>
      </c>
      <c r="E722" s="82" t="s">
        <v>48</v>
      </c>
      <c r="F722" s="83">
        <v>12</v>
      </c>
      <c r="G722" s="84">
        <v>74.47</v>
      </c>
      <c r="H722" s="85">
        <v>0</v>
      </c>
      <c r="I722" s="86">
        <f t="shared" si="22"/>
        <v>893.64</v>
      </c>
      <c r="J722" s="86">
        <v>375.33</v>
      </c>
      <c r="K722" s="86">
        <f t="shared" si="23"/>
        <v>518.30999999999995</v>
      </c>
      <c r="L722" s="87" t="s">
        <v>67</v>
      </c>
      <c r="M722" s="87" t="s">
        <v>68</v>
      </c>
      <c r="N722" s="88" t="s">
        <v>61</v>
      </c>
    </row>
    <row r="723" spans="1:14">
      <c r="A723" s="81">
        <v>45817</v>
      </c>
      <c r="B723" s="82" t="s">
        <v>791</v>
      </c>
      <c r="C723" s="82" t="s">
        <v>36</v>
      </c>
      <c r="D723" s="82" t="s">
        <v>32</v>
      </c>
      <c r="E723" s="82" t="s">
        <v>42</v>
      </c>
      <c r="F723" s="83">
        <v>8</v>
      </c>
      <c r="G723" s="84">
        <v>826.91</v>
      </c>
      <c r="H723" s="85">
        <v>0.03</v>
      </c>
      <c r="I723" s="86">
        <f t="shared" si="22"/>
        <v>6416.8215999999993</v>
      </c>
      <c r="J723" s="86">
        <v>4035.32</v>
      </c>
      <c r="K723" s="86">
        <f t="shared" si="23"/>
        <v>2381.5015999999991</v>
      </c>
      <c r="L723" s="87" t="s">
        <v>59</v>
      </c>
      <c r="M723" s="87" t="s">
        <v>60</v>
      </c>
      <c r="N723" s="88" t="s">
        <v>61</v>
      </c>
    </row>
    <row r="724" spans="1:14">
      <c r="A724" s="81">
        <v>45818</v>
      </c>
      <c r="B724" s="82" t="s">
        <v>792</v>
      </c>
      <c r="C724" s="82" t="s">
        <v>36</v>
      </c>
      <c r="D724" s="82" t="s">
        <v>27</v>
      </c>
      <c r="E724" s="82" t="s">
        <v>30</v>
      </c>
      <c r="F724" s="83">
        <v>3</v>
      </c>
      <c r="G724" s="84">
        <v>666.94</v>
      </c>
      <c r="H724" s="85">
        <v>0</v>
      </c>
      <c r="I724" s="86">
        <f t="shared" si="22"/>
        <v>2000.8200000000002</v>
      </c>
      <c r="J724" s="86">
        <v>1280.52</v>
      </c>
      <c r="K724" s="86">
        <f t="shared" si="23"/>
        <v>720.30000000000018</v>
      </c>
      <c r="L724" s="87" t="s">
        <v>63</v>
      </c>
      <c r="M724" s="87" t="s">
        <v>64</v>
      </c>
      <c r="N724" s="88" t="s">
        <v>74</v>
      </c>
    </row>
    <row r="725" spans="1:14">
      <c r="A725" s="81">
        <v>45821</v>
      </c>
      <c r="B725" s="82" t="s">
        <v>793</v>
      </c>
      <c r="C725" s="82" t="s">
        <v>31</v>
      </c>
      <c r="D725" s="82" t="s">
        <v>37</v>
      </c>
      <c r="E725" s="82" t="s">
        <v>47</v>
      </c>
      <c r="F725" s="83">
        <v>4</v>
      </c>
      <c r="G725" s="84">
        <v>130.77000000000001</v>
      </c>
      <c r="H725" s="85">
        <v>0.05</v>
      </c>
      <c r="I725" s="86">
        <f t="shared" si="22"/>
        <v>496.92599999999999</v>
      </c>
      <c r="J725" s="86">
        <v>240.62</v>
      </c>
      <c r="K725" s="86">
        <f t="shared" si="23"/>
        <v>256.30599999999998</v>
      </c>
      <c r="L725" s="87" t="s">
        <v>63</v>
      </c>
      <c r="M725" s="87" t="s">
        <v>60</v>
      </c>
      <c r="N725" s="88" t="s">
        <v>61</v>
      </c>
    </row>
    <row r="726" spans="1:14">
      <c r="A726" s="81">
        <v>45822</v>
      </c>
      <c r="B726" s="82" t="s">
        <v>794</v>
      </c>
      <c r="C726" s="82" t="s">
        <v>31</v>
      </c>
      <c r="D726" s="82" t="s">
        <v>27</v>
      </c>
      <c r="E726" s="82" t="s">
        <v>25</v>
      </c>
      <c r="F726" s="83">
        <v>2</v>
      </c>
      <c r="G726" s="84">
        <v>1300.27</v>
      </c>
      <c r="H726" s="85">
        <v>0.12</v>
      </c>
      <c r="I726" s="86">
        <f t="shared" si="22"/>
        <v>2288.4751999999999</v>
      </c>
      <c r="J726" s="86">
        <v>1768.37</v>
      </c>
      <c r="K726" s="86">
        <f t="shared" si="23"/>
        <v>520.10519999999997</v>
      </c>
      <c r="L726" s="87" t="s">
        <v>59</v>
      </c>
      <c r="M726" s="87" t="s">
        <v>68</v>
      </c>
      <c r="N726" s="88" t="s">
        <v>69</v>
      </c>
    </row>
    <row r="727" spans="1:14">
      <c r="A727" s="81">
        <v>45822</v>
      </c>
      <c r="B727" s="82" t="s">
        <v>795</v>
      </c>
      <c r="C727" s="82" t="s">
        <v>31</v>
      </c>
      <c r="D727" s="82" t="s">
        <v>27</v>
      </c>
      <c r="E727" s="82" t="s">
        <v>30</v>
      </c>
      <c r="F727" s="83">
        <v>6</v>
      </c>
      <c r="G727" s="84">
        <v>679.32</v>
      </c>
      <c r="H727" s="85">
        <v>0.03</v>
      </c>
      <c r="I727" s="86">
        <f t="shared" si="22"/>
        <v>3953.6424000000002</v>
      </c>
      <c r="J727" s="86">
        <v>2608.59</v>
      </c>
      <c r="K727" s="86">
        <f t="shared" si="23"/>
        <v>1345.0524</v>
      </c>
      <c r="L727" s="87" t="s">
        <v>59</v>
      </c>
      <c r="M727" s="87" t="s">
        <v>64</v>
      </c>
      <c r="N727" s="88" t="s">
        <v>61</v>
      </c>
    </row>
    <row r="728" spans="1:14">
      <c r="A728" s="81">
        <v>45822</v>
      </c>
      <c r="B728" s="82" t="s">
        <v>796</v>
      </c>
      <c r="C728" s="82" t="s">
        <v>40</v>
      </c>
      <c r="D728" s="82" t="s">
        <v>32</v>
      </c>
      <c r="E728" s="82" t="s">
        <v>39</v>
      </c>
      <c r="F728" s="83">
        <v>9</v>
      </c>
      <c r="G728" s="84">
        <v>468.04</v>
      </c>
      <c r="H728" s="85">
        <v>0.05</v>
      </c>
      <c r="I728" s="86">
        <f t="shared" si="22"/>
        <v>4001.7420000000002</v>
      </c>
      <c r="J728" s="86">
        <v>2401.0500000000002</v>
      </c>
      <c r="K728" s="86">
        <f t="shared" si="23"/>
        <v>1600.692</v>
      </c>
      <c r="L728" s="87" t="s">
        <v>67</v>
      </c>
      <c r="M728" s="87" t="s">
        <v>68</v>
      </c>
      <c r="N728" s="88" t="s">
        <v>61</v>
      </c>
    </row>
    <row r="729" spans="1:14">
      <c r="A729" s="81">
        <v>45822</v>
      </c>
      <c r="B729" s="82" t="s">
        <v>797</v>
      </c>
      <c r="C729" s="82" t="s">
        <v>31</v>
      </c>
      <c r="D729" s="82" t="s">
        <v>32</v>
      </c>
      <c r="E729" s="82" t="s">
        <v>39</v>
      </c>
      <c r="F729" s="83">
        <v>10</v>
      </c>
      <c r="G729" s="84">
        <v>478.89</v>
      </c>
      <c r="H729" s="85">
        <v>0</v>
      </c>
      <c r="I729" s="86">
        <f t="shared" si="22"/>
        <v>4788.8999999999996</v>
      </c>
      <c r="J729" s="86">
        <v>2729.67</v>
      </c>
      <c r="K729" s="86">
        <f t="shared" si="23"/>
        <v>2059.2299999999996</v>
      </c>
      <c r="L729" s="87" t="s">
        <v>59</v>
      </c>
      <c r="M729" s="87" t="s">
        <v>68</v>
      </c>
      <c r="N729" s="88" t="s">
        <v>65</v>
      </c>
    </row>
    <row r="730" spans="1:14">
      <c r="A730" s="81">
        <v>45823</v>
      </c>
      <c r="B730" s="82" t="s">
        <v>798</v>
      </c>
      <c r="C730" s="82" t="s">
        <v>31</v>
      </c>
      <c r="D730" s="82" t="s">
        <v>27</v>
      </c>
      <c r="E730" s="82" t="s">
        <v>30</v>
      </c>
      <c r="F730" s="83">
        <v>7</v>
      </c>
      <c r="G730" s="84">
        <v>675.98</v>
      </c>
      <c r="H730" s="85">
        <v>0</v>
      </c>
      <c r="I730" s="86">
        <f t="shared" si="22"/>
        <v>4731.8600000000006</v>
      </c>
      <c r="J730" s="86">
        <v>3028.39</v>
      </c>
      <c r="K730" s="86">
        <f t="shared" si="23"/>
        <v>1703.4700000000007</v>
      </c>
      <c r="L730" s="87" t="s">
        <v>67</v>
      </c>
      <c r="M730" s="87" t="s">
        <v>68</v>
      </c>
      <c r="N730" s="88" t="s">
        <v>78</v>
      </c>
    </row>
    <row r="731" spans="1:14">
      <c r="A731" s="81">
        <v>45823</v>
      </c>
      <c r="B731" s="82" t="s">
        <v>799</v>
      </c>
      <c r="C731" s="82" t="s">
        <v>40</v>
      </c>
      <c r="D731" s="82" t="s">
        <v>27</v>
      </c>
      <c r="E731" s="82" t="s">
        <v>25</v>
      </c>
      <c r="F731" s="83">
        <v>2</v>
      </c>
      <c r="G731" s="84">
        <v>1318.26</v>
      </c>
      <c r="H731" s="85">
        <v>0.05</v>
      </c>
      <c r="I731" s="86">
        <f t="shared" si="22"/>
        <v>2504.694</v>
      </c>
      <c r="J731" s="86">
        <v>1792.83</v>
      </c>
      <c r="K731" s="86">
        <f t="shared" si="23"/>
        <v>711.86400000000003</v>
      </c>
      <c r="L731" s="87" t="s">
        <v>67</v>
      </c>
      <c r="M731" s="87" t="s">
        <v>60</v>
      </c>
      <c r="N731" s="88" t="s">
        <v>69</v>
      </c>
    </row>
    <row r="732" spans="1:14">
      <c r="A732" s="81">
        <v>45823</v>
      </c>
      <c r="B732" s="82" t="s">
        <v>800</v>
      </c>
      <c r="C732" s="82" t="s">
        <v>36</v>
      </c>
      <c r="D732" s="82" t="s">
        <v>27</v>
      </c>
      <c r="E732" s="82" t="s">
        <v>35</v>
      </c>
      <c r="F732" s="83">
        <v>5</v>
      </c>
      <c r="G732" s="84">
        <v>412.51</v>
      </c>
      <c r="H732" s="85">
        <v>0.03</v>
      </c>
      <c r="I732" s="86">
        <f t="shared" si="22"/>
        <v>2000.6735000000001</v>
      </c>
      <c r="J732" s="86">
        <v>1237.53</v>
      </c>
      <c r="K732" s="86">
        <f t="shared" si="23"/>
        <v>763.14350000000013</v>
      </c>
      <c r="L732" s="87" t="s">
        <v>59</v>
      </c>
      <c r="M732" s="87" t="s">
        <v>60</v>
      </c>
      <c r="N732" s="88" t="s">
        <v>69</v>
      </c>
    </row>
    <row r="733" spans="1:14">
      <c r="A733" s="81">
        <v>45824</v>
      </c>
      <c r="B733" s="82" t="s">
        <v>801</v>
      </c>
      <c r="C733" s="82" t="s">
        <v>36</v>
      </c>
      <c r="D733" s="82" t="s">
        <v>27</v>
      </c>
      <c r="E733" s="82" t="s">
        <v>25</v>
      </c>
      <c r="F733" s="83">
        <v>1</v>
      </c>
      <c r="G733" s="84">
        <v>1284.3499999999999</v>
      </c>
      <c r="H733" s="85">
        <v>0.03</v>
      </c>
      <c r="I733" s="86">
        <f t="shared" si="22"/>
        <v>1245.8194999999998</v>
      </c>
      <c r="J733" s="86">
        <v>873.36</v>
      </c>
      <c r="K733" s="86">
        <f t="shared" si="23"/>
        <v>372.45949999999982</v>
      </c>
      <c r="L733" s="87" t="s">
        <v>67</v>
      </c>
      <c r="M733" s="87" t="s">
        <v>64</v>
      </c>
      <c r="N733" s="88" t="s">
        <v>74</v>
      </c>
    </row>
    <row r="734" spans="1:14">
      <c r="A734" s="81">
        <v>45825</v>
      </c>
      <c r="B734" s="82" t="s">
        <v>802</v>
      </c>
      <c r="C734" s="82" t="s">
        <v>36</v>
      </c>
      <c r="D734" s="82" t="s">
        <v>32</v>
      </c>
      <c r="E734" s="82" t="s">
        <v>39</v>
      </c>
      <c r="F734" s="83">
        <v>8</v>
      </c>
      <c r="G734" s="84">
        <v>453.82</v>
      </c>
      <c r="H734" s="85">
        <v>0</v>
      </c>
      <c r="I734" s="86">
        <f t="shared" si="22"/>
        <v>3630.56</v>
      </c>
      <c r="J734" s="86">
        <v>2069.42</v>
      </c>
      <c r="K734" s="86">
        <f t="shared" si="23"/>
        <v>1561.1399999999999</v>
      </c>
      <c r="L734" s="87" t="s">
        <v>59</v>
      </c>
      <c r="M734" s="87" t="s">
        <v>68</v>
      </c>
      <c r="N734" s="88" t="s">
        <v>65</v>
      </c>
    </row>
    <row r="735" spans="1:14">
      <c r="A735" s="81">
        <v>45827</v>
      </c>
      <c r="B735" s="82" t="s">
        <v>803</v>
      </c>
      <c r="C735" s="82" t="s">
        <v>36</v>
      </c>
      <c r="D735" s="82" t="s">
        <v>32</v>
      </c>
      <c r="E735" s="82" t="s">
        <v>46</v>
      </c>
      <c r="F735" s="83">
        <v>4</v>
      </c>
      <c r="G735" s="84">
        <v>104.74</v>
      </c>
      <c r="H735" s="85">
        <v>0.08</v>
      </c>
      <c r="I735" s="86">
        <f t="shared" si="22"/>
        <v>385.44319999999999</v>
      </c>
      <c r="J735" s="86">
        <v>201.1</v>
      </c>
      <c r="K735" s="86">
        <f t="shared" si="23"/>
        <v>184.3432</v>
      </c>
      <c r="L735" s="87" t="s">
        <v>63</v>
      </c>
      <c r="M735" s="87" t="s">
        <v>64</v>
      </c>
      <c r="N735" s="88" t="s">
        <v>78</v>
      </c>
    </row>
    <row r="736" spans="1:14">
      <c r="A736" s="81">
        <v>45829</v>
      </c>
      <c r="B736" s="82" t="s">
        <v>804</v>
      </c>
      <c r="C736" s="82" t="s">
        <v>40</v>
      </c>
      <c r="D736" s="82" t="s">
        <v>32</v>
      </c>
      <c r="E736" s="82" t="s">
        <v>46</v>
      </c>
      <c r="F736" s="83">
        <v>1</v>
      </c>
      <c r="G736" s="84">
        <v>100.2</v>
      </c>
      <c r="H736" s="85">
        <v>0.1</v>
      </c>
      <c r="I736" s="86">
        <f t="shared" si="22"/>
        <v>90.18</v>
      </c>
      <c r="J736" s="86">
        <v>48.1</v>
      </c>
      <c r="K736" s="86">
        <f t="shared" si="23"/>
        <v>42.080000000000005</v>
      </c>
      <c r="L736" s="87" t="s">
        <v>67</v>
      </c>
      <c r="M736" s="87" t="s">
        <v>60</v>
      </c>
      <c r="N736" s="88" t="s">
        <v>61</v>
      </c>
    </row>
    <row r="737" spans="1:14">
      <c r="A737" s="81">
        <v>45831</v>
      </c>
      <c r="B737" s="82" t="s">
        <v>805</v>
      </c>
      <c r="C737" s="82" t="s">
        <v>36</v>
      </c>
      <c r="D737" s="82" t="s">
        <v>27</v>
      </c>
      <c r="E737" s="82" t="s">
        <v>30</v>
      </c>
      <c r="F737" s="83">
        <v>1</v>
      </c>
      <c r="G737" s="84">
        <v>699.87</v>
      </c>
      <c r="H737" s="85">
        <v>0.12</v>
      </c>
      <c r="I737" s="86">
        <f t="shared" si="22"/>
        <v>615.88559999999995</v>
      </c>
      <c r="J737" s="86">
        <v>447.92</v>
      </c>
      <c r="K737" s="86">
        <f t="shared" si="23"/>
        <v>167.96559999999994</v>
      </c>
      <c r="L737" s="87" t="s">
        <v>63</v>
      </c>
      <c r="M737" s="87" t="s">
        <v>64</v>
      </c>
      <c r="N737" s="88" t="s">
        <v>74</v>
      </c>
    </row>
    <row r="738" spans="1:14">
      <c r="A738" s="81">
        <v>45831</v>
      </c>
      <c r="B738" s="82" t="s">
        <v>806</v>
      </c>
      <c r="C738" s="82" t="s">
        <v>40</v>
      </c>
      <c r="D738" s="82" t="s">
        <v>32</v>
      </c>
      <c r="E738" s="82" t="s">
        <v>42</v>
      </c>
      <c r="F738" s="83">
        <v>6</v>
      </c>
      <c r="G738" s="84">
        <v>812.35</v>
      </c>
      <c r="H738" s="85">
        <v>0.08</v>
      </c>
      <c r="I738" s="86">
        <f t="shared" si="22"/>
        <v>4484.1720000000005</v>
      </c>
      <c r="J738" s="86">
        <v>2973.2</v>
      </c>
      <c r="K738" s="86">
        <f t="shared" si="23"/>
        <v>1510.9720000000007</v>
      </c>
      <c r="L738" s="87" t="s">
        <v>63</v>
      </c>
      <c r="M738" s="87" t="s">
        <v>60</v>
      </c>
      <c r="N738" s="88" t="s">
        <v>69</v>
      </c>
    </row>
    <row r="739" spans="1:14">
      <c r="A739" s="81">
        <v>45832</v>
      </c>
      <c r="B739" s="82" t="s">
        <v>807</v>
      </c>
      <c r="C739" s="82" t="s">
        <v>40</v>
      </c>
      <c r="D739" s="82" t="s">
        <v>37</v>
      </c>
      <c r="E739" s="82" t="s">
        <v>48</v>
      </c>
      <c r="F739" s="83">
        <v>7</v>
      </c>
      <c r="G739" s="84">
        <v>76.599999999999994</v>
      </c>
      <c r="H739" s="85">
        <v>0.08</v>
      </c>
      <c r="I739" s="86">
        <f t="shared" si="22"/>
        <v>493.30399999999997</v>
      </c>
      <c r="J739" s="86">
        <v>225.2</v>
      </c>
      <c r="K739" s="86">
        <f t="shared" si="23"/>
        <v>268.10399999999998</v>
      </c>
      <c r="L739" s="87" t="s">
        <v>59</v>
      </c>
      <c r="M739" s="87" t="s">
        <v>60</v>
      </c>
      <c r="N739" s="88" t="s">
        <v>78</v>
      </c>
    </row>
    <row r="740" spans="1:14">
      <c r="A740" s="81">
        <v>45832</v>
      </c>
      <c r="B740" s="82" t="s">
        <v>808</v>
      </c>
      <c r="C740" s="82" t="s">
        <v>26</v>
      </c>
      <c r="D740" s="82" t="s">
        <v>27</v>
      </c>
      <c r="E740" s="82" t="s">
        <v>35</v>
      </c>
      <c r="F740" s="83">
        <v>5</v>
      </c>
      <c r="G740" s="84">
        <v>410.4</v>
      </c>
      <c r="H740" s="85">
        <v>0.03</v>
      </c>
      <c r="I740" s="86">
        <f t="shared" si="22"/>
        <v>1990.44</v>
      </c>
      <c r="J740" s="86">
        <v>1231.2</v>
      </c>
      <c r="K740" s="86">
        <f t="shared" si="23"/>
        <v>759.24</v>
      </c>
      <c r="L740" s="87" t="s">
        <v>59</v>
      </c>
      <c r="M740" s="87" t="s">
        <v>60</v>
      </c>
      <c r="N740" s="88" t="s">
        <v>78</v>
      </c>
    </row>
    <row r="741" spans="1:14">
      <c r="A741" s="81">
        <v>45832</v>
      </c>
      <c r="B741" s="82" t="s">
        <v>809</v>
      </c>
      <c r="C741" s="82" t="s">
        <v>40</v>
      </c>
      <c r="D741" s="82" t="s">
        <v>32</v>
      </c>
      <c r="E741" s="82" t="s">
        <v>42</v>
      </c>
      <c r="F741" s="83">
        <v>3</v>
      </c>
      <c r="G741" s="84">
        <v>806.28</v>
      </c>
      <c r="H741" s="85">
        <v>0</v>
      </c>
      <c r="I741" s="86">
        <f t="shared" si="22"/>
        <v>2418.84</v>
      </c>
      <c r="J741" s="86">
        <v>1475.49</v>
      </c>
      <c r="K741" s="86">
        <f t="shared" si="23"/>
        <v>943.35000000000014</v>
      </c>
      <c r="L741" s="87" t="s">
        <v>63</v>
      </c>
      <c r="M741" s="87" t="s">
        <v>64</v>
      </c>
      <c r="N741" s="88" t="s">
        <v>78</v>
      </c>
    </row>
    <row r="742" spans="1:14">
      <c r="A742" s="81">
        <v>45834</v>
      </c>
      <c r="B742" s="82" t="s">
        <v>810</v>
      </c>
      <c r="C742" s="82" t="s">
        <v>31</v>
      </c>
      <c r="D742" s="82" t="s">
        <v>37</v>
      </c>
      <c r="E742" s="82" t="s">
        <v>47</v>
      </c>
      <c r="F742" s="83">
        <v>13</v>
      </c>
      <c r="G742" s="84">
        <v>129.44</v>
      </c>
      <c r="H742" s="85">
        <v>0.08</v>
      </c>
      <c r="I742" s="86">
        <f t="shared" si="22"/>
        <v>1548.1024</v>
      </c>
      <c r="J742" s="86">
        <v>774.05</v>
      </c>
      <c r="K742" s="86">
        <f t="shared" si="23"/>
        <v>774.05240000000003</v>
      </c>
      <c r="L742" s="87" t="s">
        <v>59</v>
      </c>
      <c r="M742" s="87" t="s">
        <v>68</v>
      </c>
      <c r="N742" s="88" t="s">
        <v>78</v>
      </c>
    </row>
    <row r="743" spans="1:14">
      <c r="A743" s="81">
        <v>45835</v>
      </c>
      <c r="B743" s="82" t="s">
        <v>811</v>
      </c>
      <c r="C743" s="82" t="s">
        <v>31</v>
      </c>
      <c r="D743" s="82" t="s">
        <v>32</v>
      </c>
      <c r="E743" s="82" t="s">
        <v>39</v>
      </c>
      <c r="F743" s="83">
        <v>12</v>
      </c>
      <c r="G743" s="84">
        <v>476.95</v>
      </c>
      <c r="H743" s="85">
        <v>0.05</v>
      </c>
      <c r="I743" s="86">
        <f t="shared" si="22"/>
        <v>5437.23</v>
      </c>
      <c r="J743" s="86">
        <v>3262.34</v>
      </c>
      <c r="K743" s="86">
        <f t="shared" si="23"/>
        <v>2174.8899999999994</v>
      </c>
      <c r="L743" s="87" t="s">
        <v>59</v>
      </c>
      <c r="M743" s="87" t="s">
        <v>68</v>
      </c>
      <c r="N743" s="88" t="s">
        <v>65</v>
      </c>
    </row>
    <row r="744" spans="1:14">
      <c r="A744" s="81">
        <v>45837</v>
      </c>
      <c r="B744" s="82" t="s">
        <v>812</v>
      </c>
      <c r="C744" s="82" t="s">
        <v>26</v>
      </c>
      <c r="D744" s="82" t="s">
        <v>32</v>
      </c>
      <c r="E744" s="82" t="s">
        <v>46</v>
      </c>
      <c r="F744" s="83">
        <v>4</v>
      </c>
      <c r="G744" s="84">
        <v>100.28</v>
      </c>
      <c r="H744" s="85">
        <v>0.08</v>
      </c>
      <c r="I744" s="86">
        <f t="shared" si="22"/>
        <v>369.03040000000004</v>
      </c>
      <c r="J744" s="86">
        <v>192.54</v>
      </c>
      <c r="K744" s="86">
        <f t="shared" si="23"/>
        <v>176.49040000000005</v>
      </c>
      <c r="L744" s="87" t="s">
        <v>59</v>
      </c>
      <c r="M744" s="87" t="s">
        <v>60</v>
      </c>
      <c r="N744" s="88" t="s">
        <v>69</v>
      </c>
    </row>
    <row r="745" spans="1:14">
      <c r="A745" s="81">
        <v>45839</v>
      </c>
      <c r="B745" s="82" t="s">
        <v>813</v>
      </c>
      <c r="C745" s="82" t="s">
        <v>31</v>
      </c>
      <c r="D745" s="82" t="s">
        <v>32</v>
      </c>
      <c r="E745" s="82" t="s">
        <v>42</v>
      </c>
      <c r="F745" s="83">
        <v>6</v>
      </c>
      <c r="G745" s="84">
        <v>813.69</v>
      </c>
      <c r="H745" s="85">
        <v>0</v>
      </c>
      <c r="I745" s="86">
        <f t="shared" si="22"/>
        <v>4882.1400000000003</v>
      </c>
      <c r="J745" s="86">
        <v>2978.11</v>
      </c>
      <c r="K745" s="86">
        <f t="shared" si="23"/>
        <v>1904.0300000000002</v>
      </c>
      <c r="L745" s="87" t="s">
        <v>63</v>
      </c>
      <c r="M745" s="87" t="s">
        <v>64</v>
      </c>
      <c r="N745" s="88" t="s">
        <v>78</v>
      </c>
    </row>
    <row r="746" spans="1:14">
      <c r="A746" s="81">
        <v>45839</v>
      </c>
      <c r="B746" s="82" t="s">
        <v>814</v>
      </c>
      <c r="C746" s="82" t="s">
        <v>40</v>
      </c>
      <c r="D746" s="82" t="s">
        <v>37</v>
      </c>
      <c r="E746" s="82" t="s">
        <v>48</v>
      </c>
      <c r="F746" s="83">
        <v>8</v>
      </c>
      <c r="G746" s="84">
        <v>74.62</v>
      </c>
      <c r="H746" s="85">
        <v>0.03</v>
      </c>
      <c r="I746" s="86">
        <f t="shared" si="22"/>
        <v>579.05119999999999</v>
      </c>
      <c r="J746" s="86">
        <v>250.72</v>
      </c>
      <c r="K746" s="86">
        <f t="shared" si="23"/>
        <v>328.33119999999997</v>
      </c>
      <c r="L746" s="87" t="s">
        <v>59</v>
      </c>
      <c r="M746" s="87" t="s">
        <v>64</v>
      </c>
      <c r="N746" s="88" t="s">
        <v>65</v>
      </c>
    </row>
    <row r="747" spans="1:14">
      <c r="A747" s="81">
        <v>45843</v>
      </c>
      <c r="B747" s="82" t="s">
        <v>815</v>
      </c>
      <c r="C747" s="82" t="s">
        <v>26</v>
      </c>
      <c r="D747" s="82" t="s">
        <v>32</v>
      </c>
      <c r="E747" s="82" t="s">
        <v>39</v>
      </c>
      <c r="F747" s="83">
        <v>5</v>
      </c>
      <c r="G747" s="84">
        <v>461.47</v>
      </c>
      <c r="H747" s="85">
        <v>0.08</v>
      </c>
      <c r="I747" s="86">
        <f t="shared" si="22"/>
        <v>2122.7620000000006</v>
      </c>
      <c r="J747" s="86">
        <v>1315.19</v>
      </c>
      <c r="K747" s="86">
        <f t="shared" si="23"/>
        <v>807.57200000000057</v>
      </c>
      <c r="L747" s="87" t="s">
        <v>67</v>
      </c>
      <c r="M747" s="87" t="s">
        <v>68</v>
      </c>
      <c r="N747" s="88" t="s">
        <v>71</v>
      </c>
    </row>
    <row r="748" spans="1:14">
      <c r="A748" s="81">
        <v>45845</v>
      </c>
      <c r="B748" s="82" t="s">
        <v>816</v>
      </c>
      <c r="C748" s="82" t="s">
        <v>36</v>
      </c>
      <c r="D748" s="82" t="s">
        <v>27</v>
      </c>
      <c r="E748" s="82" t="s">
        <v>35</v>
      </c>
      <c r="F748" s="83">
        <v>5</v>
      </c>
      <c r="G748" s="84">
        <v>377.24</v>
      </c>
      <c r="H748" s="85">
        <v>0.12</v>
      </c>
      <c r="I748" s="86">
        <f t="shared" si="22"/>
        <v>1659.856</v>
      </c>
      <c r="J748" s="86">
        <v>1131.72</v>
      </c>
      <c r="K748" s="86">
        <f t="shared" si="23"/>
        <v>528.13599999999997</v>
      </c>
      <c r="L748" s="87" t="s">
        <v>67</v>
      </c>
      <c r="M748" s="87" t="s">
        <v>60</v>
      </c>
      <c r="N748" s="88" t="s">
        <v>61</v>
      </c>
    </row>
    <row r="749" spans="1:14">
      <c r="A749" s="81">
        <v>45845</v>
      </c>
      <c r="B749" s="82" t="s">
        <v>817</v>
      </c>
      <c r="C749" s="82" t="s">
        <v>40</v>
      </c>
      <c r="D749" s="82" t="s">
        <v>27</v>
      </c>
      <c r="E749" s="82" t="s">
        <v>30</v>
      </c>
      <c r="F749" s="83">
        <v>9</v>
      </c>
      <c r="G749" s="84">
        <v>692.36</v>
      </c>
      <c r="H749" s="85">
        <v>0.12</v>
      </c>
      <c r="I749" s="86">
        <f t="shared" si="22"/>
        <v>5483.4911999999995</v>
      </c>
      <c r="J749" s="86">
        <v>3987.99</v>
      </c>
      <c r="K749" s="86">
        <f t="shared" si="23"/>
        <v>1495.5011999999997</v>
      </c>
      <c r="L749" s="87" t="s">
        <v>59</v>
      </c>
      <c r="M749" s="87" t="s">
        <v>64</v>
      </c>
      <c r="N749" s="88" t="s">
        <v>65</v>
      </c>
    </row>
    <row r="750" spans="1:14">
      <c r="A750" s="81">
        <v>45847</v>
      </c>
      <c r="B750" s="82" t="s">
        <v>818</v>
      </c>
      <c r="C750" s="82" t="s">
        <v>40</v>
      </c>
      <c r="D750" s="82" t="s">
        <v>27</v>
      </c>
      <c r="E750" s="82" t="s">
        <v>25</v>
      </c>
      <c r="F750" s="83">
        <v>8</v>
      </c>
      <c r="G750" s="84">
        <v>1324.09</v>
      </c>
      <c r="H750" s="85">
        <v>0</v>
      </c>
      <c r="I750" s="86">
        <f t="shared" si="22"/>
        <v>10592.72</v>
      </c>
      <c r="J750" s="86">
        <v>7203.05</v>
      </c>
      <c r="K750" s="86">
        <f t="shared" si="23"/>
        <v>3389.6699999999992</v>
      </c>
      <c r="L750" s="87" t="s">
        <v>63</v>
      </c>
      <c r="M750" s="87" t="s">
        <v>64</v>
      </c>
      <c r="N750" s="88" t="s">
        <v>78</v>
      </c>
    </row>
    <row r="751" spans="1:14">
      <c r="A751" s="81">
        <v>45847</v>
      </c>
      <c r="B751" s="82" t="s">
        <v>819</v>
      </c>
      <c r="C751" s="82" t="s">
        <v>40</v>
      </c>
      <c r="D751" s="82" t="s">
        <v>37</v>
      </c>
      <c r="E751" s="82" t="s">
        <v>48</v>
      </c>
      <c r="F751" s="83">
        <v>7</v>
      </c>
      <c r="G751" s="84">
        <v>75.77</v>
      </c>
      <c r="H751" s="85">
        <v>0</v>
      </c>
      <c r="I751" s="86">
        <f t="shared" si="22"/>
        <v>530.39</v>
      </c>
      <c r="J751" s="86">
        <v>222.76</v>
      </c>
      <c r="K751" s="86">
        <f t="shared" si="23"/>
        <v>307.63</v>
      </c>
      <c r="L751" s="87" t="s">
        <v>63</v>
      </c>
      <c r="M751" s="87" t="s">
        <v>64</v>
      </c>
      <c r="N751" s="88" t="s">
        <v>61</v>
      </c>
    </row>
    <row r="752" spans="1:14">
      <c r="A752" s="81">
        <v>45848</v>
      </c>
      <c r="B752" s="82" t="s">
        <v>820</v>
      </c>
      <c r="C752" s="82" t="s">
        <v>31</v>
      </c>
      <c r="D752" s="82" t="s">
        <v>32</v>
      </c>
      <c r="E752" s="82" t="s">
        <v>42</v>
      </c>
      <c r="F752" s="83">
        <v>2</v>
      </c>
      <c r="G752" s="84">
        <v>867.85</v>
      </c>
      <c r="H752" s="85">
        <v>0</v>
      </c>
      <c r="I752" s="86">
        <f t="shared" si="22"/>
        <v>1735.7</v>
      </c>
      <c r="J752" s="86">
        <v>1058.78</v>
      </c>
      <c r="K752" s="86">
        <f t="shared" si="23"/>
        <v>676.92000000000007</v>
      </c>
      <c r="L752" s="87" t="s">
        <v>67</v>
      </c>
      <c r="M752" s="87" t="s">
        <v>60</v>
      </c>
      <c r="N752" s="88" t="s">
        <v>74</v>
      </c>
    </row>
    <row r="753" spans="1:14">
      <c r="A753" s="81">
        <v>45849</v>
      </c>
      <c r="B753" s="82" t="s">
        <v>821</v>
      </c>
      <c r="C753" s="82" t="s">
        <v>40</v>
      </c>
      <c r="D753" s="82" t="s">
        <v>32</v>
      </c>
      <c r="E753" s="82" t="s">
        <v>39</v>
      </c>
      <c r="F753" s="83">
        <v>7</v>
      </c>
      <c r="G753" s="84">
        <v>457.67</v>
      </c>
      <c r="H753" s="85">
        <v>0.08</v>
      </c>
      <c r="I753" s="86">
        <f t="shared" si="22"/>
        <v>2947.3948</v>
      </c>
      <c r="J753" s="86">
        <v>1826.1</v>
      </c>
      <c r="K753" s="86">
        <f t="shared" si="23"/>
        <v>1121.2948000000001</v>
      </c>
      <c r="L753" s="87" t="s">
        <v>63</v>
      </c>
      <c r="M753" s="87" t="s">
        <v>60</v>
      </c>
      <c r="N753" s="88" t="s">
        <v>78</v>
      </c>
    </row>
    <row r="754" spans="1:14">
      <c r="A754" s="81">
        <v>45849</v>
      </c>
      <c r="B754" s="82" t="s">
        <v>822</v>
      </c>
      <c r="C754" s="82" t="s">
        <v>40</v>
      </c>
      <c r="D754" s="82" t="s">
        <v>27</v>
      </c>
      <c r="E754" s="82" t="s">
        <v>30</v>
      </c>
      <c r="F754" s="83">
        <v>5</v>
      </c>
      <c r="G754" s="84">
        <v>695.73</v>
      </c>
      <c r="H754" s="85">
        <v>0.05</v>
      </c>
      <c r="I754" s="86">
        <f t="shared" si="22"/>
        <v>3304.7174999999997</v>
      </c>
      <c r="J754" s="86">
        <v>2226.34</v>
      </c>
      <c r="K754" s="86">
        <f t="shared" si="23"/>
        <v>1078.3774999999996</v>
      </c>
      <c r="L754" s="87" t="s">
        <v>67</v>
      </c>
      <c r="M754" s="87" t="s">
        <v>64</v>
      </c>
      <c r="N754" s="88" t="s">
        <v>74</v>
      </c>
    </row>
    <row r="755" spans="1:14">
      <c r="A755" s="81">
        <v>45850</v>
      </c>
      <c r="B755" s="82" t="s">
        <v>823</v>
      </c>
      <c r="C755" s="82" t="s">
        <v>36</v>
      </c>
      <c r="D755" s="82" t="s">
        <v>37</v>
      </c>
      <c r="E755" s="82" t="s">
        <v>48</v>
      </c>
      <c r="F755" s="83">
        <v>2</v>
      </c>
      <c r="G755" s="84">
        <v>74.64</v>
      </c>
      <c r="H755" s="85">
        <v>0.08</v>
      </c>
      <c r="I755" s="86">
        <f t="shared" si="22"/>
        <v>137.33760000000001</v>
      </c>
      <c r="J755" s="86">
        <v>62.7</v>
      </c>
      <c r="K755" s="86">
        <f t="shared" si="23"/>
        <v>74.637600000000006</v>
      </c>
      <c r="L755" s="87" t="s">
        <v>63</v>
      </c>
      <c r="M755" s="87" t="s">
        <v>64</v>
      </c>
      <c r="N755" s="88" t="s">
        <v>65</v>
      </c>
    </row>
    <row r="756" spans="1:14">
      <c r="A756" s="81">
        <v>45851</v>
      </c>
      <c r="B756" s="82" t="s">
        <v>824</v>
      </c>
      <c r="C756" s="82" t="s">
        <v>40</v>
      </c>
      <c r="D756" s="82" t="s">
        <v>27</v>
      </c>
      <c r="E756" s="82" t="s">
        <v>25</v>
      </c>
      <c r="F756" s="83">
        <v>2</v>
      </c>
      <c r="G756" s="84">
        <v>1324.72</v>
      </c>
      <c r="H756" s="85">
        <v>0.08</v>
      </c>
      <c r="I756" s="86">
        <f t="shared" si="22"/>
        <v>2437.4848000000002</v>
      </c>
      <c r="J756" s="86">
        <v>1801.62</v>
      </c>
      <c r="K756" s="86">
        <f t="shared" si="23"/>
        <v>635.86480000000029</v>
      </c>
      <c r="L756" s="87" t="s">
        <v>67</v>
      </c>
      <c r="M756" s="87" t="s">
        <v>60</v>
      </c>
      <c r="N756" s="88" t="s">
        <v>65</v>
      </c>
    </row>
    <row r="757" spans="1:14">
      <c r="A757" s="81">
        <v>45852</v>
      </c>
      <c r="B757" s="82" t="s">
        <v>825</v>
      </c>
      <c r="C757" s="82" t="s">
        <v>26</v>
      </c>
      <c r="D757" s="82" t="s">
        <v>27</v>
      </c>
      <c r="E757" s="82" t="s">
        <v>35</v>
      </c>
      <c r="F757" s="83">
        <v>3</v>
      </c>
      <c r="G757" s="84">
        <v>379</v>
      </c>
      <c r="H757" s="85">
        <v>0.1</v>
      </c>
      <c r="I757" s="86">
        <f t="shared" si="22"/>
        <v>1023.3000000000001</v>
      </c>
      <c r="J757" s="86">
        <v>682.2</v>
      </c>
      <c r="K757" s="86">
        <f t="shared" si="23"/>
        <v>341.1</v>
      </c>
      <c r="L757" s="87" t="s">
        <v>67</v>
      </c>
      <c r="M757" s="87" t="s">
        <v>60</v>
      </c>
      <c r="N757" s="88" t="s">
        <v>71</v>
      </c>
    </row>
    <row r="758" spans="1:14">
      <c r="A758" s="81">
        <v>45852</v>
      </c>
      <c r="B758" s="82" t="s">
        <v>826</v>
      </c>
      <c r="C758" s="82" t="s">
        <v>26</v>
      </c>
      <c r="D758" s="82" t="s">
        <v>37</v>
      </c>
      <c r="E758" s="82" t="s">
        <v>47</v>
      </c>
      <c r="F758" s="83">
        <v>8</v>
      </c>
      <c r="G758" s="84">
        <v>127.29</v>
      </c>
      <c r="H758" s="85">
        <v>0.1</v>
      </c>
      <c r="I758" s="86">
        <f t="shared" si="22"/>
        <v>916.48800000000006</v>
      </c>
      <c r="J758" s="86">
        <v>468.43</v>
      </c>
      <c r="K758" s="86">
        <f t="shared" si="23"/>
        <v>448.05800000000005</v>
      </c>
      <c r="L758" s="87" t="s">
        <v>59</v>
      </c>
      <c r="M758" s="87" t="s">
        <v>60</v>
      </c>
      <c r="N758" s="88" t="s">
        <v>65</v>
      </c>
    </row>
    <row r="759" spans="1:14">
      <c r="A759" s="81">
        <v>45854</v>
      </c>
      <c r="B759" s="82" t="s">
        <v>827</v>
      </c>
      <c r="C759" s="82" t="s">
        <v>31</v>
      </c>
      <c r="D759" s="82" t="s">
        <v>27</v>
      </c>
      <c r="E759" s="82" t="s">
        <v>30</v>
      </c>
      <c r="F759" s="83">
        <v>11</v>
      </c>
      <c r="G759" s="84">
        <v>684.54</v>
      </c>
      <c r="H759" s="85">
        <v>0.03</v>
      </c>
      <c r="I759" s="86">
        <f t="shared" si="22"/>
        <v>7304.0417999999991</v>
      </c>
      <c r="J759" s="86">
        <v>4819.16</v>
      </c>
      <c r="K759" s="86">
        <f t="shared" si="23"/>
        <v>2484.8817999999992</v>
      </c>
      <c r="L759" s="87" t="s">
        <v>67</v>
      </c>
      <c r="M759" s="87" t="s">
        <v>68</v>
      </c>
      <c r="N759" s="88" t="s">
        <v>61</v>
      </c>
    </row>
    <row r="760" spans="1:14">
      <c r="A760" s="81">
        <v>45854</v>
      </c>
      <c r="B760" s="82" t="s">
        <v>828</v>
      </c>
      <c r="C760" s="82" t="s">
        <v>36</v>
      </c>
      <c r="D760" s="82" t="s">
        <v>32</v>
      </c>
      <c r="E760" s="82" t="s">
        <v>42</v>
      </c>
      <c r="F760" s="83">
        <v>1</v>
      </c>
      <c r="G760" s="84">
        <v>814.39</v>
      </c>
      <c r="H760" s="85">
        <v>0.03</v>
      </c>
      <c r="I760" s="86">
        <f t="shared" si="22"/>
        <v>789.95830000000001</v>
      </c>
      <c r="J760" s="86">
        <v>496.78</v>
      </c>
      <c r="K760" s="86">
        <f t="shared" si="23"/>
        <v>293.17830000000004</v>
      </c>
      <c r="L760" s="87" t="s">
        <v>67</v>
      </c>
      <c r="M760" s="87" t="s">
        <v>64</v>
      </c>
      <c r="N760" s="88" t="s">
        <v>71</v>
      </c>
    </row>
    <row r="761" spans="1:14">
      <c r="A761" s="81">
        <v>45855</v>
      </c>
      <c r="B761" s="82" t="s">
        <v>829</v>
      </c>
      <c r="C761" s="82" t="s">
        <v>31</v>
      </c>
      <c r="D761" s="82" t="s">
        <v>27</v>
      </c>
      <c r="E761" s="82" t="s">
        <v>25</v>
      </c>
      <c r="F761" s="83">
        <v>9</v>
      </c>
      <c r="G761" s="84">
        <v>1333.86</v>
      </c>
      <c r="H761" s="85">
        <v>0</v>
      </c>
      <c r="I761" s="86">
        <f t="shared" si="22"/>
        <v>12004.74</v>
      </c>
      <c r="J761" s="86">
        <v>8163.22</v>
      </c>
      <c r="K761" s="86">
        <f t="shared" si="23"/>
        <v>3841.5199999999995</v>
      </c>
      <c r="L761" s="87" t="s">
        <v>59</v>
      </c>
      <c r="M761" s="87" t="s">
        <v>68</v>
      </c>
      <c r="N761" s="88" t="s">
        <v>78</v>
      </c>
    </row>
    <row r="762" spans="1:14">
      <c r="A762" s="81">
        <v>45856</v>
      </c>
      <c r="B762" s="82" t="s">
        <v>830</v>
      </c>
      <c r="C762" s="82" t="s">
        <v>40</v>
      </c>
      <c r="D762" s="82" t="s">
        <v>27</v>
      </c>
      <c r="E762" s="82" t="s">
        <v>35</v>
      </c>
      <c r="F762" s="83">
        <v>4</v>
      </c>
      <c r="G762" s="84">
        <v>383.67</v>
      </c>
      <c r="H762" s="85">
        <v>0.05</v>
      </c>
      <c r="I762" s="86">
        <f t="shared" si="22"/>
        <v>1457.9459999999999</v>
      </c>
      <c r="J762" s="86">
        <v>920.81</v>
      </c>
      <c r="K762" s="86">
        <f t="shared" si="23"/>
        <v>537.13599999999997</v>
      </c>
      <c r="L762" s="87" t="s">
        <v>67</v>
      </c>
      <c r="M762" s="87" t="s">
        <v>60</v>
      </c>
      <c r="N762" s="88" t="s">
        <v>71</v>
      </c>
    </row>
    <row r="763" spans="1:14">
      <c r="A763" s="81">
        <v>45857</v>
      </c>
      <c r="B763" s="82" t="s">
        <v>831</v>
      </c>
      <c r="C763" s="82" t="s">
        <v>36</v>
      </c>
      <c r="D763" s="82" t="s">
        <v>37</v>
      </c>
      <c r="E763" s="82" t="s">
        <v>48</v>
      </c>
      <c r="F763" s="83">
        <v>11</v>
      </c>
      <c r="G763" s="84">
        <v>74.900000000000006</v>
      </c>
      <c r="H763" s="85">
        <v>0.05</v>
      </c>
      <c r="I763" s="86">
        <f t="shared" si="22"/>
        <v>782.70500000000004</v>
      </c>
      <c r="J763" s="86">
        <v>346.04</v>
      </c>
      <c r="K763" s="86">
        <f t="shared" si="23"/>
        <v>436.66500000000002</v>
      </c>
      <c r="L763" s="87" t="s">
        <v>63</v>
      </c>
      <c r="M763" s="87" t="s">
        <v>68</v>
      </c>
      <c r="N763" s="88" t="s">
        <v>78</v>
      </c>
    </row>
    <row r="764" spans="1:14">
      <c r="A764" s="81">
        <v>45857</v>
      </c>
      <c r="B764" s="82" t="s">
        <v>832</v>
      </c>
      <c r="C764" s="82" t="s">
        <v>26</v>
      </c>
      <c r="D764" s="82" t="s">
        <v>37</v>
      </c>
      <c r="E764" s="82" t="s">
        <v>48</v>
      </c>
      <c r="F764" s="83">
        <v>2</v>
      </c>
      <c r="G764" s="84">
        <v>75.989999999999995</v>
      </c>
      <c r="H764" s="85">
        <v>0.05</v>
      </c>
      <c r="I764" s="86">
        <f t="shared" si="22"/>
        <v>144.38099999999997</v>
      </c>
      <c r="J764" s="86">
        <v>63.83</v>
      </c>
      <c r="K764" s="86">
        <f t="shared" si="23"/>
        <v>80.550999999999974</v>
      </c>
      <c r="L764" s="87" t="s">
        <v>59</v>
      </c>
      <c r="M764" s="87" t="s">
        <v>60</v>
      </c>
      <c r="N764" s="88" t="s">
        <v>69</v>
      </c>
    </row>
    <row r="765" spans="1:14">
      <c r="A765" s="81">
        <v>45857</v>
      </c>
      <c r="B765" s="82" t="s">
        <v>833</v>
      </c>
      <c r="C765" s="82" t="s">
        <v>40</v>
      </c>
      <c r="D765" s="82" t="s">
        <v>37</v>
      </c>
      <c r="E765" s="82" t="s">
        <v>48</v>
      </c>
      <c r="F765" s="83">
        <v>6</v>
      </c>
      <c r="G765" s="84">
        <v>77.34</v>
      </c>
      <c r="H765" s="85">
        <v>0.1</v>
      </c>
      <c r="I765" s="86">
        <f t="shared" si="22"/>
        <v>417.63600000000002</v>
      </c>
      <c r="J765" s="86">
        <v>194.9</v>
      </c>
      <c r="K765" s="86">
        <f t="shared" si="23"/>
        <v>222.73600000000002</v>
      </c>
      <c r="L765" s="87" t="s">
        <v>59</v>
      </c>
      <c r="M765" s="87" t="s">
        <v>68</v>
      </c>
      <c r="N765" s="88" t="s">
        <v>74</v>
      </c>
    </row>
    <row r="766" spans="1:14">
      <c r="A766" s="81">
        <v>45859</v>
      </c>
      <c r="B766" s="82" t="s">
        <v>834</v>
      </c>
      <c r="C766" s="82" t="s">
        <v>31</v>
      </c>
      <c r="D766" s="82" t="s">
        <v>37</v>
      </c>
      <c r="E766" s="82" t="s">
        <v>48</v>
      </c>
      <c r="F766" s="83">
        <v>7</v>
      </c>
      <c r="G766" s="84">
        <v>77.16</v>
      </c>
      <c r="H766" s="85">
        <v>0.12</v>
      </c>
      <c r="I766" s="86">
        <f t="shared" si="22"/>
        <v>475.30560000000003</v>
      </c>
      <c r="J766" s="86">
        <v>226.85</v>
      </c>
      <c r="K766" s="86">
        <f t="shared" si="23"/>
        <v>248.45560000000003</v>
      </c>
      <c r="L766" s="87" t="s">
        <v>59</v>
      </c>
      <c r="M766" s="87" t="s">
        <v>68</v>
      </c>
      <c r="N766" s="88" t="s">
        <v>61</v>
      </c>
    </row>
    <row r="767" spans="1:14">
      <c r="A767" s="81">
        <v>45860</v>
      </c>
      <c r="B767" s="82" t="s">
        <v>835</v>
      </c>
      <c r="C767" s="82" t="s">
        <v>40</v>
      </c>
      <c r="D767" s="82" t="s">
        <v>32</v>
      </c>
      <c r="E767" s="82" t="s">
        <v>42</v>
      </c>
      <c r="F767" s="83">
        <v>8</v>
      </c>
      <c r="G767" s="84">
        <v>831.28</v>
      </c>
      <c r="H767" s="85">
        <v>0.12</v>
      </c>
      <c r="I767" s="86">
        <f t="shared" si="22"/>
        <v>5852.2111999999997</v>
      </c>
      <c r="J767" s="86">
        <v>4056.65</v>
      </c>
      <c r="K767" s="86">
        <f t="shared" si="23"/>
        <v>1795.5611999999996</v>
      </c>
      <c r="L767" s="87" t="s">
        <v>63</v>
      </c>
      <c r="M767" s="87" t="s">
        <v>64</v>
      </c>
      <c r="N767" s="88" t="s">
        <v>78</v>
      </c>
    </row>
    <row r="768" spans="1:14">
      <c r="A768" s="81">
        <v>45860</v>
      </c>
      <c r="B768" s="82" t="s">
        <v>836</v>
      </c>
      <c r="C768" s="82" t="s">
        <v>26</v>
      </c>
      <c r="D768" s="82" t="s">
        <v>32</v>
      </c>
      <c r="E768" s="82" t="s">
        <v>39</v>
      </c>
      <c r="F768" s="83">
        <v>12</v>
      </c>
      <c r="G768" s="84">
        <v>468.12</v>
      </c>
      <c r="H768" s="85">
        <v>0</v>
      </c>
      <c r="I768" s="86">
        <f t="shared" si="22"/>
        <v>5617.4400000000005</v>
      </c>
      <c r="J768" s="86">
        <v>3201.94</v>
      </c>
      <c r="K768" s="86">
        <f t="shared" si="23"/>
        <v>2415.5000000000005</v>
      </c>
      <c r="L768" s="87" t="s">
        <v>59</v>
      </c>
      <c r="M768" s="87" t="s">
        <v>68</v>
      </c>
      <c r="N768" s="88" t="s">
        <v>71</v>
      </c>
    </row>
    <row r="769" spans="1:14">
      <c r="A769" s="81">
        <v>45860</v>
      </c>
      <c r="B769" s="82" t="s">
        <v>837</v>
      </c>
      <c r="C769" s="82" t="s">
        <v>31</v>
      </c>
      <c r="D769" s="82" t="s">
        <v>37</v>
      </c>
      <c r="E769" s="82" t="s">
        <v>47</v>
      </c>
      <c r="F769" s="83">
        <v>5</v>
      </c>
      <c r="G769" s="84">
        <v>131.52000000000001</v>
      </c>
      <c r="H769" s="85">
        <v>0.1</v>
      </c>
      <c r="I769" s="86">
        <f t="shared" si="22"/>
        <v>591.84</v>
      </c>
      <c r="J769" s="86">
        <v>302.5</v>
      </c>
      <c r="K769" s="86">
        <f t="shared" si="23"/>
        <v>289.34000000000003</v>
      </c>
      <c r="L769" s="87" t="s">
        <v>63</v>
      </c>
      <c r="M769" s="87" t="s">
        <v>60</v>
      </c>
      <c r="N769" s="88" t="s">
        <v>69</v>
      </c>
    </row>
    <row r="770" spans="1:14">
      <c r="A770" s="81">
        <v>45860</v>
      </c>
      <c r="B770" s="82" t="s">
        <v>838</v>
      </c>
      <c r="C770" s="82" t="s">
        <v>40</v>
      </c>
      <c r="D770" s="82" t="s">
        <v>27</v>
      </c>
      <c r="E770" s="82" t="s">
        <v>25</v>
      </c>
      <c r="F770" s="83">
        <v>8</v>
      </c>
      <c r="G770" s="84">
        <v>1298.82</v>
      </c>
      <c r="H770" s="85">
        <v>0.12</v>
      </c>
      <c r="I770" s="86">
        <f t="shared" ref="I770:I833" si="24">F770*G770*(1-H770)</f>
        <v>9143.6927999999989</v>
      </c>
      <c r="J770" s="86">
        <v>7065.58</v>
      </c>
      <c r="K770" s="86">
        <f t="shared" ref="K770:K833" si="25">I770-J770</f>
        <v>2078.112799999999</v>
      </c>
      <c r="L770" s="87" t="s">
        <v>59</v>
      </c>
      <c r="M770" s="87" t="s">
        <v>64</v>
      </c>
      <c r="N770" s="88" t="s">
        <v>65</v>
      </c>
    </row>
    <row r="771" spans="1:14">
      <c r="A771" s="81">
        <v>45860</v>
      </c>
      <c r="B771" s="82" t="s">
        <v>839</v>
      </c>
      <c r="C771" s="82" t="s">
        <v>40</v>
      </c>
      <c r="D771" s="82" t="s">
        <v>27</v>
      </c>
      <c r="E771" s="82" t="s">
        <v>30</v>
      </c>
      <c r="F771" s="83">
        <v>9</v>
      </c>
      <c r="G771" s="84">
        <v>714.1</v>
      </c>
      <c r="H771" s="85">
        <v>0</v>
      </c>
      <c r="I771" s="86">
        <f t="shared" si="24"/>
        <v>6426.9000000000005</v>
      </c>
      <c r="J771" s="86">
        <v>4113.22</v>
      </c>
      <c r="K771" s="86">
        <f t="shared" si="25"/>
        <v>2313.6800000000003</v>
      </c>
      <c r="L771" s="87" t="s">
        <v>63</v>
      </c>
      <c r="M771" s="87" t="s">
        <v>64</v>
      </c>
      <c r="N771" s="88" t="s">
        <v>69</v>
      </c>
    </row>
    <row r="772" spans="1:14">
      <c r="A772" s="81">
        <v>45860</v>
      </c>
      <c r="B772" s="82" t="s">
        <v>840</v>
      </c>
      <c r="C772" s="82" t="s">
        <v>40</v>
      </c>
      <c r="D772" s="82" t="s">
        <v>32</v>
      </c>
      <c r="E772" s="82" t="s">
        <v>39</v>
      </c>
      <c r="F772" s="83">
        <v>6</v>
      </c>
      <c r="G772" s="84">
        <v>459.4</v>
      </c>
      <c r="H772" s="85">
        <v>0.1</v>
      </c>
      <c r="I772" s="86">
        <f t="shared" si="24"/>
        <v>2480.7599999999998</v>
      </c>
      <c r="J772" s="86">
        <v>1571.15</v>
      </c>
      <c r="K772" s="86">
        <f t="shared" si="25"/>
        <v>909.60999999999967</v>
      </c>
      <c r="L772" s="87" t="s">
        <v>59</v>
      </c>
      <c r="M772" s="87" t="s">
        <v>64</v>
      </c>
      <c r="N772" s="88" t="s">
        <v>69</v>
      </c>
    </row>
    <row r="773" spans="1:14">
      <c r="A773" s="81">
        <v>45861</v>
      </c>
      <c r="B773" s="82" t="s">
        <v>841</v>
      </c>
      <c r="C773" s="82" t="s">
        <v>26</v>
      </c>
      <c r="D773" s="82" t="s">
        <v>27</v>
      </c>
      <c r="E773" s="82" t="s">
        <v>25</v>
      </c>
      <c r="F773" s="83">
        <v>9</v>
      </c>
      <c r="G773" s="84">
        <v>1339.29</v>
      </c>
      <c r="H773" s="85">
        <v>0.05</v>
      </c>
      <c r="I773" s="86">
        <f t="shared" si="24"/>
        <v>11450.9295</v>
      </c>
      <c r="J773" s="86">
        <v>8196.4500000000007</v>
      </c>
      <c r="K773" s="86">
        <f t="shared" si="25"/>
        <v>3254.4794999999995</v>
      </c>
      <c r="L773" s="87" t="s">
        <v>59</v>
      </c>
      <c r="M773" s="87" t="s">
        <v>60</v>
      </c>
      <c r="N773" s="88" t="s">
        <v>61</v>
      </c>
    </row>
    <row r="774" spans="1:14">
      <c r="A774" s="81">
        <v>45862</v>
      </c>
      <c r="B774" s="82" t="s">
        <v>842</v>
      </c>
      <c r="C774" s="82" t="s">
        <v>40</v>
      </c>
      <c r="D774" s="82" t="s">
        <v>37</v>
      </c>
      <c r="E774" s="82" t="s">
        <v>47</v>
      </c>
      <c r="F774" s="83">
        <v>5</v>
      </c>
      <c r="G774" s="84">
        <v>125.68</v>
      </c>
      <c r="H774" s="85">
        <v>0.1</v>
      </c>
      <c r="I774" s="86">
        <f t="shared" si="24"/>
        <v>565.56000000000006</v>
      </c>
      <c r="J774" s="86">
        <v>289.06</v>
      </c>
      <c r="K774" s="86">
        <f t="shared" si="25"/>
        <v>276.50000000000006</v>
      </c>
      <c r="L774" s="87" t="s">
        <v>63</v>
      </c>
      <c r="M774" s="87" t="s">
        <v>60</v>
      </c>
      <c r="N774" s="88" t="s">
        <v>65</v>
      </c>
    </row>
    <row r="775" spans="1:14">
      <c r="A775" s="81">
        <v>45862</v>
      </c>
      <c r="B775" s="82" t="s">
        <v>843</v>
      </c>
      <c r="C775" s="82" t="s">
        <v>26</v>
      </c>
      <c r="D775" s="82" t="s">
        <v>37</v>
      </c>
      <c r="E775" s="82" t="s">
        <v>47</v>
      </c>
      <c r="F775" s="83">
        <v>5</v>
      </c>
      <c r="G775" s="84">
        <v>126.05</v>
      </c>
      <c r="H775" s="85">
        <v>0</v>
      </c>
      <c r="I775" s="86">
        <f t="shared" si="24"/>
        <v>630.25</v>
      </c>
      <c r="J775" s="86">
        <v>289.92</v>
      </c>
      <c r="K775" s="86">
        <f t="shared" si="25"/>
        <v>340.33</v>
      </c>
      <c r="L775" s="87" t="s">
        <v>59</v>
      </c>
      <c r="M775" s="87" t="s">
        <v>64</v>
      </c>
      <c r="N775" s="88" t="s">
        <v>65</v>
      </c>
    </row>
    <row r="776" spans="1:14">
      <c r="A776" s="81">
        <v>45862</v>
      </c>
      <c r="B776" s="82" t="s">
        <v>844</v>
      </c>
      <c r="C776" s="82" t="s">
        <v>31</v>
      </c>
      <c r="D776" s="82" t="s">
        <v>27</v>
      </c>
      <c r="E776" s="82" t="s">
        <v>25</v>
      </c>
      <c r="F776" s="83">
        <v>9</v>
      </c>
      <c r="G776" s="84">
        <v>1295.1600000000001</v>
      </c>
      <c r="H776" s="85">
        <v>0</v>
      </c>
      <c r="I776" s="86">
        <f t="shared" si="24"/>
        <v>11656.44</v>
      </c>
      <c r="J776" s="86">
        <v>7926.38</v>
      </c>
      <c r="K776" s="86">
        <f t="shared" si="25"/>
        <v>3730.0600000000004</v>
      </c>
      <c r="L776" s="87" t="s">
        <v>67</v>
      </c>
      <c r="M776" s="87" t="s">
        <v>64</v>
      </c>
      <c r="N776" s="88" t="s">
        <v>69</v>
      </c>
    </row>
    <row r="777" spans="1:14">
      <c r="A777" s="81">
        <v>45863</v>
      </c>
      <c r="B777" s="82" t="s">
        <v>845</v>
      </c>
      <c r="C777" s="82" t="s">
        <v>36</v>
      </c>
      <c r="D777" s="82" t="s">
        <v>37</v>
      </c>
      <c r="E777" s="82" t="s">
        <v>47</v>
      </c>
      <c r="F777" s="83">
        <v>9</v>
      </c>
      <c r="G777" s="84">
        <v>130.97</v>
      </c>
      <c r="H777" s="85">
        <v>0.05</v>
      </c>
      <c r="I777" s="86">
        <f t="shared" si="24"/>
        <v>1119.7935</v>
      </c>
      <c r="J777" s="86">
        <v>542.22</v>
      </c>
      <c r="K777" s="86">
        <f t="shared" si="25"/>
        <v>577.57349999999997</v>
      </c>
      <c r="L777" s="87" t="s">
        <v>67</v>
      </c>
      <c r="M777" s="87" t="s">
        <v>60</v>
      </c>
      <c r="N777" s="88" t="s">
        <v>78</v>
      </c>
    </row>
    <row r="778" spans="1:14">
      <c r="A778" s="81">
        <v>45866</v>
      </c>
      <c r="B778" s="82" t="s">
        <v>846</v>
      </c>
      <c r="C778" s="82" t="s">
        <v>31</v>
      </c>
      <c r="D778" s="82" t="s">
        <v>32</v>
      </c>
      <c r="E778" s="82" t="s">
        <v>42</v>
      </c>
      <c r="F778" s="83">
        <v>8</v>
      </c>
      <c r="G778" s="84">
        <v>863.47</v>
      </c>
      <c r="H778" s="85">
        <v>0.12</v>
      </c>
      <c r="I778" s="86">
        <f t="shared" si="24"/>
        <v>6078.8288000000002</v>
      </c>
      <c r="J778" s="86">
        <v>4213.7299999999996</v>
      </c>
      <c r="K778" s="86">
        <f t="shared" si="25"/>
        <v>1865.0988000000007</v>
      </c>
      <c r="L778" s="87" t="s">
        <v>67</v>
      </c>
      <c r="M778" s="87" t="s">
        <v>64</v>
      </c>
      <c r="N778" s="88" t="s">
        <v>71</v>
      </c>
    </row>
    <row r="779" spans="1:14">
      <c r="A779" s="81">
        <v>45867</v>
      </c>
      <c r="B779" s="82" t="s">
        <v>847</v>
      </c>
      <c r="C779" s="82" t="s">
        <v>26</v>
      </c>
      <c r="D779" s="82" t="s">
        <v>27</v>
      </c>
      <c r="E779" s="82" t="s">
        <v>25</v>
      </c>
      <c r="F779" s="83">
        <v>4</v>
      </c>
      <c r="G779" s="84">
        <v>1342.8</v>
      </c>
      <c r="H779" s="85">
        <v>0.08</v>
      </c>
      <c r="I779" s="86">
        <f t="shared" si="24"/>
        <v>4941.5039999999999</v>
      </c>
      <c r="J779" s="86">
        <v>3652.42</v>
      </c>
      <c r="K779" s="86">
        <f t="shared" si="25"/>
        <v>1289.0839999999998</v>
      </c>
      <c r="L779" s="87" t="s">
        <v>67</v>
      </c>
      <c r="M779" s="87" t="s">
        <v>60</v>
      </c>
      <c r="N779" s="88" t="s">
        <v>65</v>
      </c>
    </row>
    <row r="780" spans="1:14">
      <c r="A780" s="81">
        <v>45868</v>
      </c>
      <c r="B780" s="82" t="s">
        <v>848</v>
      </c>
      <c r="C780" s="82" t="s">
        <v>36</v>
      </c>
      <c r="D780" s="82" t="s">
        <v>32</v>
      </c>
      <c r="E780" s="82" t="s">
        <v>39</v>
      </c>
      <c r="F780" s="83">
        <v>3</v>
      </c>
      <c r="G780" s="84">
        <v>468.9</v>
      </c>
      <c r="H780" s="85">
        <v>0</v>
      </c>
      <c r="I780" s="86">
        <f t="shared" si="24"/>
        <v>1406.6999999999998</v>
      </c>
      <c r="J780" s="86">
        <v>801.82</v>
      </c>
      <c r="K780" s="86">
        <f t="shared" si="25"/>
        <v>604.87999999999977</v>
      </c>
      <c r="L780" s="87" t="s">
        <v>59</v>
      </c>
      <c r="M780" s="87" t="s">
        <v>64</v>
      </c>
      <c r="N780" s="88" t="s">
        <v>74</v>
      </c>
    </row>
    <row r="781" spans="1:14">
      <c r="A781" s="81">
        <v>45868</v>
      </c>
      <c r="B781" s="82" t="s">
        <v>849</v>
      </c>
      <c r="C781" s="82" t="s">
        <v>26</v>
      </c>
      <c r="D781" s="82" t="s">
        <v>37</v>
      </c>
      <c r="E781" s="82" t="s">
        <v>47</v>
      </c>
      <c r="F781" s="83">
        <v>7</v>
      </c>
      <c r="G781" s="84">
        <v>133.81</v>
      </c>
      <c r="H781" s="85">
        <v>0.08</v>
      </c>
      <c r="I781" s="86">
        <f t="shared" si="24"/>
        <v>861.73640000000012</v>
      </c>
      <c r="J781" s="86">
        <v>430.87</v>
      </c>
      <c r="K781" s="86">
        <f t="shared" si="25"/>
        <v>430.86640000000011</v>
      </c>
      <c r="L781" s="87" t="s">
        <v>67</v>
      </c>
      <c r="M781" s="87" t="s">
        <v>60</v>
      </c>
      <c r="N781" s="88" t="s">
        <v>65</v>
      </c>
    </row>
    <row r="782" spans="1:14">
      <c r="A782" s="81">
        <v>45869</v>
      </c>
      <c r="B782" s="82" t="s">
        <v>850</v>
      </c>
      <c r="C782" s="82" t="s">
        <v>36</v>
      </c>
      <c r="D782" s="82" t="s">
        <v>32</v>
      </c>
      <c r="E782" s="82" t="s">
        <v>42</v>
      </c>
      <c r="F782" s="83">
        <v>3</v>
      </c>
      <c r="G782" s="84">
        <v>841.13</v>
      </c>
      <c r="H782" s="85">
        <v>0.03</v>
      </c>
      <c r="I782" s="86">
        <f t="shared" si="24"/>
        <v>2447.6882999999998</v>
      </c>
      <c r="J782" s="86">
        <v>1539.27</v>
      </c>
      <c r="K782" s="86">
        <f t="shared" si="25"/>
        <v>908.41829999999982</v>
      </c>
      <c r="L782" s="87" t="s">
        <v>63</v>
      </c>
      <c r="M782" s="87" t="s">
        <v>64</v>
      </c>
      <c r="N782" s="88" t="s">
        <v>69</v>
      </c>
    </row>
    <row r="783" spans="1:14">
      <c r="A783" s="81">
        <v>45869</v>
      </c>
      <c r="B783" s="82" t="s">
        <v>851</v>
      </c>
      <c r="C783" s="82" t="s">
        <v>40</v>
      </c>
      <c r="D783" s="82" t="s">
        <v>27</v>
      </c>
      <c r="E783" s="82" t="s">
        <v>25</v>
      </c>
      <c r="F783" s="83">
        <v>3</v>
      </c>
      <c r="G783" s="84">
        <v>1348.51</v>
      </c>
      <c r="H783" s="85">
        <v>0.05</v>
      </c>
      <c r="I783" s="86">
        <f t="shared" si="24"/>
        <v>3843.2534999999998</v>
      </c>
      <c r="J783" s="86">
        <v>2750.96</v>
      </c>
      <c r="K783" s="86">
        <f t="shared" si="25"/>
        <v>1092.2934999999998</v>
      </c>
      <c r="L783" s="87" t="s">
        <v>63</v>
      </c>
      <c r="M783" s="87" t="s">
        <v>68</v>
      </c>
      <c r="N783" s="88" t="s">
        <v>69</v>
      </c>
    </row>
    <row r="784" spans="1:14">
      <c r="A784" s="81">
        <v>45869</v>
      </c>
      <c r="B784" s="82" t="s">
        <v>852</v>
      </c>
      <c r="C784" s="82" t="s">
        <v>31</v>
      </c>
      <c r="D784" s="82" t="s">
        <v>27</v>
      </c>
      <c r="E784" s="82" t="s">
        <v>25</v>
      </c>
      <c r="F784" s="83">
        <v>3</v>
      </c>
      <c r="G784" s="84">
        <v>1277.1300000000001</v>
      </c>
      <c r="H784" s="85">
        <v>0.03</v>
      </c>
      <c r="I784" s="86">
        <f t="shared" si="24"/>
        <v>3716.4483</v>
      </c>
      <c r="J784" s="86">
        <v>2605.35</v>
      </c>
      <c r="K784" s="86">
        <f t="shared" si="25"/>
        <v>1111.0983000000001</v>
      </c>
      <c r="L784" s="87" t="s">
        <v>59</v>
      </c>
      <c r="M784" s="87" t="s">
        <v>60</v>
      </c>
      <c r="N784" s="88" t="s">
        <v>65</v>
      </c>
    </row>
    <row r="785" spans="1:14">
      <c r="A785" s="81">
        <v>45870</v>
      </c>
      <c r="B785" s="82" t="s">
        <v>853</v>
      </c>
      <c r="C785" s="82" t="s">
        <v>36</v>
      </c>
      <c r="D785" s="82" t="s">
        <v>32</v>
      </c>
      <c r="E785" s="82" t="s">
        <v>42</v>
      </c>
      <c r="F785" s="83">
        <v>4</v>
      </c>
      <c r="G785" s="84">
        <v>835.21</v>
      </c>
      <c r="H785" s="85">
        <v>0.08</v>
      </c>
      <c r="I785" s="86">
        <f t="shared" si="24"/>
        <v>3073.5728000000004</v>
      </c>
      <c r="J785" s="86">
        <v>2037.91</v>
      </c>
      <c r="K785" s="86">
        <f t="shared" si="25"/>
        <v>1035.6628000000003</v>
      </c>
      <c r="L785" s="87" t="s">
        <v>59</v>
      </c>
      <c r="M785" s="87" t="s">
        <v>60</v>
      </c>
      <c r="N785" s="88" t="s">
        <v>71</v>
      </c>
    </row>
    <row r="786" spans="1:14">
      <c r="A786" s="81">
        <v>45870</v>
      </c>
      <c r="B786" s="82" t="s">
        <v>854</v>
      </c>
      <c r="C786" s="82" t="s">
        <v>36</v>
      </c>
      <c r="D786" s="82" t="s">
        <v>32</v>
      </c>
      <c r="E786" s="82" t="s">
        <v>42</v>
      </c>
      <c r="F786" s="83">
        <v>3</v>
      </c>
      <c r="G786" s="84">
        <v>834.51</v>
      </c>
      <c r="H786" s="85">
        <v>0.03</v>
      </c>
      <c r="I786" s="86">
        <f t="shared" si="24"/>
        <v>2428.4240999999997</v>
      </c>
      <c r="J786" s="86">
        <v>1527.15</v>
      </c>
      <c r="K786" s="86">
        <f t="shared" si="25"/>
        <v>901.27409999999963</v>
      </c>
      <c r="L786" s="87" t="s">
        <v>59</v>
      </c>
      <c r="M786" s="87" t="s">
        <v>60</v>
      </c>
      <c r="N786" s="88" t="s">
        <v>78</v>
      </c>
    </row>
    <row r="787" spans="1:14">
      <c r="A787" s="81">
        <v>45870</v>
      </c>
      <c r="B787" s="82" t="s">
        <v>855</v>
      </c>
      <c r="C787" s="82" t="s">
        <v>31</v>
      </c>
      <c r="D787" s="82" t="s">
        <v>27</v>
      </c>
      <c r="E787" s="82" t="s">
        <v>25</v>
      </c>
      <c r="F787" s="83">
        <v>13</v>
      </c>
      <c r="G787" s="84">
        <v>1240.93</v>
      </c>
      <c r="H787" s="85">
        <v>0.05</v>
      </c>
      <c r="I787" s="86">
        <f t="shared" si="24"/>
        <v>15325.485499999999</v>
      </c>
      <c r="J787" s="86">
        <v>10969.82</v>
      </c>
      <c r="K787" s="86">
        <f t="shared" si="25"/>
        <v>4355.6654999999992</v>
      </c>
      <c r="L787" s="87" t="s">
        <v>59</v>
      </c>
      <c r="M787" s="87" t="s">
        <v>68</v>
      </c>
      <c r="N787" s="88" t="s">
        <v>78</v>
      </c>
    </row>
    <row r="788" spans="1:14">
      <c r="A788" s="81">
        <v>45871</v>
      </c>
      <c r="B788" s="82" t="s">
        <v>856</v>
      </c>
      <c r="C788" s="82" t="s">
        <v>31</v>
      </c>
      <c r="D788" s="82" t="s">
        <v>32</v>
      </c>
      <c r="E788" s="82" t="s">
        <v>42</v>
      </c>
      <c r="F788" s="83">
        <v>1</v>
      </c>
      <c r="G788" s="84">
        <v>838.54</v>
      </c>
      <c r="H788" s="85">
        <v>0.12</v>
      </c>
      <c r="I788" s="86">
        <f t="shared" si="24"/>
        <v>737.91520000000003</v>
      </c>
      <c r="J788" s="86">
        <v>511.51</v>
      </c>
      <c r="K788" s="86">
        <f t="shared" si="25"/>
        <v>226.40520000000004</v>
      </c>
      <c r="L788" s="87" t="s">
        <v>63</v>
      </c>
      <c r="M788" s="87" t="s">
        <v>60</v>
      </c>
      <c r="N788" s="88" t="s">
        <v>61</v>
      </c>
    </row>
    <row r="789" spans="1:14">
      <c r="A789" s="81">
        <v>45872</v>
      </c>
      <c r="B789" s="82" t="s">
        <v>857</v>
      </c>
      <c r="C789" s="82" t="s">
        <v>40</v>
      </c>
      <c r="D789" s="82" t="s">
        <v>37</v>
      </c>
      <c r="E789" s="82" t="s">
        <v>47</v>
      </c>
      <c r="F789" s="83">
        <v>5</v>
      </c>
      <c r="G789" s="84">
        <v>129.74</v>
      </c>
      <c r="H789" s="85">
        <v>0.05</v>
      </c>
      <c r="I789" s="86">
        <f t="shared" si="24"/>
        <v>616.26499999999999</v>
      </c>
      <c r="J789" s="86">
        <v>298.39999999999998</v>
      </c>
      <c r="K789" s="86">
        <f t="shared" si="25"/>
        <v>317.86500000000001</v>
      </c>
      <c r="L789" s="87" t="s">
        <v>63</v>
      </c>
      <c r="M789" s="87" t="s">
        <v>68</v>
      </c>
      <c r="N789" s="88" t="s">
        <v>69</v>
      </c>
    </row>
    <row r="790" spans="1:14">
      <c r="A790" s="81">
        <v>45872</v>
      </c>
      <c r="B790" s="82" t="s">
        <v>858</v>
      </c>
      <c r="C790" s="82" t="s">
        <v>40</v>
      </c>
      <c r="D790" s="82" t="s">
        <v>27</v>
      </c>
      <c r="E790" s="82" t="s">
        <v>25</v>
      </c>
      <c r="F790" s="83">
        <v>4</v>
      </c>
      <c r="G790" s="84">
        <v>1264.46</v>
      </c>
      <c r="H790" s="85">
        <v>0.12</v>
      </c>
      <c r="I790" s="86">
        <f t="shared" si="24"/>
        <v>4450.8991999999998</v>
      </c>
      <c r="J790" s="86">
        <v>3439.33</v>
      </c>
      <c r="K790" s="86">
        <f t="shared" si="25"/>
        <v>1011.5691999999999</v>
      </c>
      <c r="L790" s="87" t="s">
        <v>67</v>
      </c>
      <c r="M790" s="87" t="s">
        <v>68</v>
      </c>
      <c r="N790" s="88" t="s">
        <v>65</v>
      </c>
    </row>
    <row r="791" spans="1:14">
      <c r="A791" s="81">
        <v>45874</v>
      </c>
      <c r="B791" s="82" t="s">
        <v>859</v>
      </c>
      <c r="C791" s="82" t="s">
        <v>40</v>
      </c>
      <c r="D791" s="82" t="s">
        <v>32</v>
      </c>
      <c r="E791" s="82" t="s">
        <v>42</v>
      </c>
      <c r="F791" s="83">
        <v>11</v>
      </c>
      <c r="G791" s="84">
        <v>828.69</v>
      </c>
      <c r="H791" s="85">
        <v>0.12</v>
      </c>
      <c r="I791" s="86">
        <f t="shared" si="24"/>
        <v>8021.7192000000005</v>
      </c>
      <c r="J791" s="86">
        <v>5560.51</v>
      </c>
      <c r="K791" s="86">
        <f t="shared" si="25"/>
        <v>2461.2092000000002</v>
      </c>
      <c r="L791" s="87" t="s">
        <v>63</v>
      </c>
      <c r="M791" s="87" t="s">
        <v>68</v>
      </c>
      <c r="N791" s="88" t="s">
        <v>74</v>
      </c>
    </row>
    <row r="792" spans="1:14">
      <c r="A792" s="81">
        <v>45874</v>
      </c>
      <c r="B792" s="82" t="s">
        <v>860</v>
      </c>
      <c r="C792" s="82" t="s">
        <v>26</v>
      </c>
      <c r="D792" s="82" t="s">
        <v>37</v>
      </c>
      <c r="E792" s="82" t="s">
        <v>48</v>
      </c>
      <c r="F792" s="83">
        <v>6</v>
      </c>
      <c r="G792" s="84">
        <v>75.849999999999994</v>
      </c>
      <c r="H792" s="85">
        <v>0</v>
      </c>
      <c r="I792" s="86">
        <f t="shared" si="24"/>
        <v>455.09999999999997</v>
      </c>
      <c r="J792" s="86">
        <v>191.14</v>
      </c>
      <c r="K792" s="86">
        <f t="shared" si="25"/>
        <v>263.95999999999998</v>
      </c>
      <c r="L792" s="87" t="s">
        <v>67</v>
      </c>
      <c r="M792" s="87" t="s">
        <v>64</v>
      </c>
      <c r="N792" s="88" t="s">
        <v>65</v>
      </c>
    </row>
    <row r="793" spans="1:14">
      <c r="A793" s="81">
        <v>45874</v>
      </c>
      <c r="B793" s="82" t="s">
        <v>861</v>
      </c>
      <c r="C793" s="82" t="s">
        <v>36</v>
      </c>
      <c r="D793" s="82" t="s">
        <v>32</v>
      </c>
      <c r="E793" s="82" t="s">
        <v>46</v>
      </c>
      <c r="F793" s="83">
        <v>8</v>
      </c>
      <c r="G793" s="84">
        <v>107.14</v>
      </c>
      <c r="H793" s="85">
        <v>0</v>
      </c>
      <c r="I793" s="86">
        <f t="shared" si="24"/>
        <v>857.12</v>
      </c>
      <c r="J793" s="86">
        <v>411.42</v>
      </c>
      <c r="K793" s="86">
        <f t="shared" si="25"/>
        <v>445.7</v>
      </c>
      <c r="L793" s="87" t="s">
        <v>67</v>
      </c>
      <c r="M793" s="87" t="s">
        <v>64</v>
      </c>
      <c r="N793" s="88" t="s">
        <v>78</v>
      </c>
    </row>
    <row r="794" spans="1:14">
      <c r="A794" s="81">
        <v>45875</v>
      </c>
      <c r="B794" s="82" t="s">
        <v>862</v>
      </c>
      <c r="C794" s="82" t="s">
        <v>40</v>
      </c>
      <c r="D794" s="82" t="s">
        <v>32</v>
      </c>
      <c r="E794" s="82" t="s">
        <v>39</v>
      </c>
      <c r="F794" s="83">
        <v>7</v>
      </c>
      <c r="G794" s="84">
        <v>459.21</v>
      </c>
      <c r="H794" s="85">
        <v>0.05</v>
      </c>
      <c r="I794" s="86">
        <f t="shared" si="24"/>
        <v>3053.7464999999997</v>
      </c>
      <c r="J794" s="86">
        <v>1832.25</v>
      </c>
      <c r="K794" s="86">
        <f t="shared" si="25"/>
        <v>1221.4964999999997</v>
      </c>
      <c r="L794" s="87" t="s">
        <v>59</v>
      </c>
      <c r="M794" s="87" t="s">
        <v>64</v>
      </c>
      <c r="N794" s="88" t="s">
        <v>61</v>
      </c>
    </row>
    <row r="795" spans="1:14">
      <c r="A795" s="81">
        <v>45875</v>
      </c>
      <c r="B795" s="82" t="s">
        <v>863</v>
      </c>
      <c r="C795" s="82" t="s">
        <v>36</v>
      </c>
      <c r="D795" s="82" t="s">
        <v>32</v>
      </c>
      <c r="E795" s="82" t="s">
        <v>39</v>
      </c>
      <c r="F795" s="83">
        <v>1</v>
      </c>
      <c r="G795" s="84">
        <v>491.46</v>
      </c>
      <c r="H795" s="85">
        <v>0</v>
      </c>
      <c r="I795" s="86">
        <f t="shared" si="24"/>
        <v>491.46</v>
      </c>
      <c r="J795" s="86">
        <v>280.13</v>
      </c>
      <c r="K795" s="86">
        <f t="shared" si="25"/>
        <v>211.32999999999998</v>
      </c>
      <c r="L795" s="87" t="s">
        <v>59</v>
      </c>
      <c r="M795" s="87" t="s">
        <v>60</v>
      </c>
      <c r="N795" s="88" t="s">
        <v>65</v>
      </c>
    </row>
    <row r="796" spans="1:14">
      <c r="A796" s="81">
        <v>45876</v>
      </c>
      <c r="B796" s="82" t="s">
        <v>864</v>
      </c>
      <c r="C796" s="82" t="s">
        <v>40</v>
      </c>
      <c r="D796" s="82" t="s">
        <v>27</v>
      </c>
      <c r="E796" s="82" t="s">
        <v>25</v>
      </c>
      <c r="F796" s="83">
        <v>6</v>
      </c>
      <c r="G796" s="84">
        <v>1326.84</v>
      </c>
      <c r="H796" s="85">
        <v>0.03</v>
      </c>
      <c r="I796" s="86">
        <f t="shared" si="24"/>
        <v>7722.2087999999985</v>
      </c>
      <c r="J796" s="86">
        <v>5413.51</v>
      </c>
      <c r="K796" s="86">
        <f t="shared" si="25"/>
        <v>2308.6987999999983</v>
      </c>
      <c r="L796" s="87" t="s">
        <v>63</v>
      </c>
      <c r="M796" s="87" t="s">
        <v>60</v>
      </c>
      <c r="N796" s="88" t="s">
        <v>74</v>
      </c>
    </row>
    <row r="797" spans="1:14">
      <c r="A797" s="81">
        <v>45876</v>
      </c>
      <c r="B797" s="82" t="s">
        <v>865</v>
      </c>
      <c r="C797" s="82" t="s">
        <v>40</v>
      </c>
      <c r="D797" s="82" t="s">
        <v>27</v>
      </c>
      <c r="E797" s="82" t="s">
        <v>35</v>
      </c>
      <c r="F797" s="83">
        <v>8</v>
      </c>
      <c r="G797" s="84">
        <v>386.74</v>
      </c>
      <c r="H797" s="85">
        <v>0.12</v>
      </c>
      <c r="I797" s="86">
        <f t="shared" si="24"/>
        <v>2722.6496000000002</v>
      </c>
      <c r="J797" s="86">
        <v>1856.35</v>
      </c>
      <c r="K797" s="86">
        <f t="shared" si="25"/>
        <v>866.29960000000028</v>
      </c>
      <c r="L797" s="87" t="s">
        <v>67</v>
      </c>
      <c r="M797" s="87" t="s">
        <v>68</v>
      </c>
      <c r="N797" s="88" t="s">
        <v>65</v>
      </c>
    </row>
    <row r="798" spans="1:14">
      <c r="A798" s="81">
        <v>45877</v>
      </c>
      <c r="B798" s="82" t="s">
        <v>866</v>
      </c>
      <c r="C798" s="82" t="s">
        <v>36</v>
      </c>
      <c r="D798" s="82" t="s">
        <v>27</v>
      </c>
      <c r="E798" s="82" t="s">
        <v>30</v>
      </c>
      <c r="F798" s="83">
        <v>4</v>
      </c>
      <c r="G798" s="84">
        <v>653.16999999999996</v>
      </c>
      <c r="H798" s="85">
        <v>0.05</v>
      </c>
      <c r="I798" s="86">
        <f t="shared" si="24"/>
        <v>2482.0459999999998</v>
      </c>
      <c r="J798" s="86">
        <v>1672.12</v>
      </c>
      <c r="K798" s="86">
        <f t="shared" si="25"/>
        <v>809.92599999999993</v>
      </c>
      <c r="L798" s="87" t="s">
        <v>67</v>
      </c>
      <c r="M798" s="87" t="s">
        <v>68</v>
      </c>
      <c r="N798" s="88" t="s">
        <v>71</v>
      </c>
    </row>
    <row r="799" spans="1:14">
      <c r="A799" s="81">
        <v>45877</v>
      </c>
      <c r="B799" s="82" t="s">
        <v>867</v>
      </c>
      <c r="C799" s="82" t="s">
        <v>40</v>
      </c>
      <c r="D799" s="82" t="s">
        <v>37</v>
      </c>
      <c r="E799" s="82" t="s">
        <v>48</v>
      </c>
      <c r="F799" s="83">
        <v>10</v>
      </c>
      <c r="G799" s="84">
        <v>76.650000000000006</v>
      </c>
      <c r="H799" s="85">
        <v>0.1</v>
      </c>
      <c r="I799" s="86">
        <f t="shared" si="24"/>
        <v>689.85</v>
      </c>
      <c r="J799" s="86">
        <v>321.93</v>
      </c>
      <c r="K799" s="86">
        <f t="shared" si="25"/>
        <v>367.92</v>
      </c>
      <c r="L799" s="87" t="s">
        <v>59</v>
      </c>
      <c r="M799" s="87" t="s">
        <v>68</v>
      </c>
      <c r="N799" s="88" t="s">
        <v>71</v>
      </c>
    </row>
    <row r="800" spans="1:14">
      <c r="A800" s="81">
        <v>45877</v>
      </c>
      <c r="B800" s="82" t="s">
        <v>868</v>
      </c>
      <c r="C800" s="82" t="s">
        <v>36</v>
      </c>
      <c r="D800" s="82" t="s">
        <v>37</v>
      </c>
      <c r="E800" s="82" t="s">
        <v>48</v>
      </c>
      <c r="F800" s="83">
        <v>8</v>
      </c>
      <c r="G800" s="84">
        <v>76.739999999999995</v>
      </c>
      <c r="H800" s="85">
        <v>0.1</v>
      </c>
      <c r="I800" s="86">
        <f t="shared" si="24"/>
        <v>552.52800000000002</v>
      </c>
      <c r="J800" s="86">
        <v>257.85000000000002</v>
      </c>
      <c r="K800" s="86">
        <f t="shared" si="25"/>
        <v>294.678</v>
      </c>
      <c r="L800" s="87" t="s">
        <v>63</v>
      </c>
      <c r="M800" s="87" t="s">
        <v>60</v>
      </c>
      <c r="N800" s="88" t="s">
        <v>74</v>
      </c>
    </row>
    <row r="801" spans="1:14">
      <c r="A801" s="81">
        <v>45878</v>
      </c>
      <c r="B801" s="82" t="s">
        <v>869</v>
      </c>
      <c r="C801" s="82" t="s">
        <v>26</v>
      </c>
      <c r="D801" s="82" t="s">
        <v>27</v>
      </c>
      <c r="E801" s="82" t="s">
        <v>35</v>
      </c>
      <c r="F801" s="83">
        <v>13</v>
      </c>
      <c r="G801" s="84">
        <v>395.45</v>
      </c>
      <c r="H801" s="85">
        <v>0</v>
      </c>
      <c r="I801" s="86">
        <f t="shared" si="24"/>
        <v>5140.8499999999995</v>
      </c>
      <c r="J801" s="86">
        <v>3084.51</v>
      </c>
      <c r="K801" s="86">
        <f t="shared" si="25"/>
        <v>2056.3399999999992</v>
      </c>
      <c r="L801" s="87" t="s">
        <v>59</v>
      </c>
      <c r="M801" s="87" t="s">
        <v>68</v>
      </c>
      <c r="N801" s="88" t="s">
        <v>61</v>
      </c>
    </row>
    <row r="802" spans="1:14">
      <c r="A802" s="81">
        <v>45878</v>
      </c>
      <c r="B802" s="82" t="s">
        <v>870</v>
      </c>
      <c r="C802" s="82" t="s">
        <v>26</v>
      </c>
      <c r="D802" s="82" t="s">
        <v>37</v>
      </c>
      <c r="E802" s="82" t="s">
        <v>48</v>
      </c>
      <c r="F802" s="83">
        <v>8</v>
      </c>
      <c r="G802" s="84">
        <v>74.03</v>
      </c>
      <c r="H802" s="85">
        <v>0</v>
      </c>
      <c r="I802" s="86">
        <f t="shared" si="24"/>
        <v>592.24</v>
      </c>
      <c r="J802" s="86">
        <v>248.74</v>
      </c>
      <c r="K802" s="86">
        <f t="shared" si="25"/>
        <v>343.5</v>
      </c>
      <c r="L802" s="87" t="s">
        <v>63</v>
      </c>
      <c r="M802" s="87" t="s">
        <v>64</v>
      </c>
      <c r="N802" s="88" t="s">
        <v>61</v>
      </c>
    </row>
    <row r="803" spans="1:14">
      <c r="A803" s="81">
        <v>45879</v>
      </c>
      <c r="B803" s="82" t="s">
        <v>871</v>
      </c>
      <c r="C803" s="82" t="s">
        <v>26</v>
      </c>
      <c r="D803" s="82" t="s">
        <v>27</v>
      </c>
      <c r="E803" s="82" t="s">
        <v>25</v>
      </c>
      <c r="F803" s="83">
        <v>2</v>
      </c>
      <c r="G803" s="84">
        <v>1247.78</v>
      </c>
      <c r="H803" s="85">
        <v>0.05</v>
      </c>
      <c r="I803" s="86">
        <f t="shared" si="24"/>
        <v>2370.7819999999997</v>
      </c>
      <c r="J803" s="86">
        <v>1696.98</v>
      </c>
      <c r="K803" s="86">
        <f t="shared" si="25"/>
        <v>673.80199999999968</v>
      </c>
      <c r="L803" s="87" t="s">
        <v>63</v>
      </c>
      <c r="M803" s="87" t="s">
        <v>60</v>
      </c>
      <c r="N803" s="88" t="s">
        <v>61</v>
      </c>
    </row>
    <row r="804" spans="1:14">
      <c r="A804" s="81">
        <v>45879</v>
      </c>
      <c r="B804" s="82" t="s">
        <v>872</v>
      </c>
      <c r="C804" s="82" t="s">
        <v>40</v>
      </c>
      <c r="D804" s="82" t="s">
        <v>27</v>
      </c>
      <c r="E804" s="82" t="s">
        <v>35</v>
      </c>
      <c r="F804" s="83">
        <v>6</v>
      </c>
      <c r="G804" s="84">
        <v>381.66</v>
      </c>
      <c r="H804" s="85">
        <v>0</v>
      </c>
      <c r="I804" s="86">
        <f t="shared" si="24"/>
        <v>2289.96</v>
      </c>
      <c r="J804" s="86">
        <v>1373.98</v>
      </c>
      <c r="K804" s="86">
        <f t="shared" si="25"/>
        <v>915.98</v>
      </c>
      <c r="L804" s="87" t="s">
        <v>59</v>
      </c>
      <c r="M804" s="87" t="s">
        <v>64</v>
      </c>
      <c r="N804" s="88" t="s">
        <v>69</v>
      </c>
    </row>
    <row r="805" spans="1:14">
      <c r="A805" s="81">
        <v>45881</v>
      </c>
      <c r="B805" s="82" t="s">
        <v>873</v>
      </c>
      <c r="C805" s="82" t="s">
        <v>31</v>
      </c>
      <c r="D805" s="82" t="s">
        <v>32</v>
      </c>
      <c r="E805" s="82" t="s">
        <v>46</v>
      </c>
      <c r="F805" s="83">
        <v>9</v>
      </c>
      <c r="G805" s="84">
        <v>104.4</v>
      </c>
      <c r="H805" s="85">
        <v>0.05</v>
      </c>
      <c r="I805" s="86">
        <f t="shared" si="24"/>
        <v>892.62</v>
      </c>
      <c r="J805" s="86">
        <v>451.01</v>
      </c>
      <c r="K805" s="86">
        <f t="shared" si="25"/>
        <v>441.61</v>
      </c>
      <c r="L805" s="87" t="s">
        <v>67</v>
      </c>
      <c r="M805" s="87" t="s">
        <v>60</v>
      </c>
      <c r="N805" s="88" t="s">
        <v>71</v>
      </c>
    </row>
    <row r="806" spans="1:14">
      <c r="A806" s="81">
        <v>45881</v>
      </c>
      <c r="B806" s="82" t="s">
        <v>874</v>
      </c>
      <c r="C806" s="82" t="s">
        <v>40</v>
      </c>
      <c r="D806" s="82" t="s">
        <v>27</v>
      </c>
      <c r="E806" s="82" t="s">
        <v>30</v>
      </c>
      <c r="F806" s="83">
        <v>2</v>
      </c>
      <c r="G806" s="84">
        <v>711.2</v>
      </c>
      <c r="H806" s="85">
        <v>0.05</v>
      </c>
      <c r="I806" s="86">
        <f t="shared" si="24"/>
        <v>1351.28</v>
      </c>
      <c r="J806" s="86">
        <v>910.34</v>
      </c>
      <c r="K806" s="86">
        <f t="shared" si="25"/>
        <v>440.93999999999994</v>
      </c>
      <c r="L806" s="87" t="s">
        <v>59</v>
      </c>
      <c r="M806" s="87" t="s">
        <v>60</v>
      </c>
      <c r="N806" s="88" t="s">
        <v>61</v>
      </c>
    </row>
    <row r="807" spans="1:14">
      <c r="A807" s="81">
        <v>45882</v>
      </c>
      <c r="B807" s="82" t="s">
        <v>875</v>
      </c>
      <c r="C807" s="82" t="s">
        <v>31</v>
      </c>
      <c r="D807" s="82" t="s">
        <v>27</v>
      </c>
      <c r="E807" s="82" t="s">
        <v>35</v>
      </c>
      <c r="F807" s="83">
        <v>6</v>
      </c>
      <c r="G807" s="84">
        <v>380.94</v>
      </c>
      <c r="H807" s="85">
        <v>0</v>
      </c>
      <c r="I807" s="86">
        <f t="shared" si="24"/>
        <v>2285.64</v>
      </c>
      <c r="J807" s="86">
        <v>1371.38</v>
      </c>
      <c r="K807" s="86">
        <f t="shared" si="25"/>
        <v>914.25999999999976</v>
      </c>
      <c r="L807" s="87" t="s">
        <v>67</v>
      </c>
      <c r="M807" s="87" t="s">
        <v>64</v>
      </c>
      <c r="N807" s="88" t="s">
        <v>65</v>
      </c>
    </row>
    <row r="808" spans="1:14">
      <c r="A808" s="81">
        <v>45882</v>
      </c>
      <c r="B808" s="82" t="s">
        <v>876</v>
      </c>
      <c r="C808" s="82" t="s">
        <v>31</v>
      </c>
      <c r="D808" s="82" t="s">
        <v>32</v>
      </c>
      <c r="E808" s="82" t="s">
        <v>39</v>
      </c>
      <c r="F808" s="83">
        <v>8</v>
      </c>
      <c r="G808" s="84">
        <v>495.22</v>
      </c>
      <c r="H808" s="85">
        <v>0.08</v>
      </c>
      <c r="I808" s="86">
        <f t="shared" si="24"/>
        <v>3644.8192000000004</v>
      </c>
      <c r="J808" s="86">
        <v>2258.1999999999998</v>
      </c>
      <c r="K808" s="86">
        <f t="shared" si="25"/>
        <v>1386.6192000000005</v>
      </c>
      <c r="L808" s="87" t="s">
        <v>59</v>
      </c>
      <c r="M808" s="87" t="s">
        <v>64</v>
      </c>
      <c r="N808" s="88" t="s">
        <v>65</v>
      </c>
    </row>
    <row r="809" spans="1:14">
      <c r="A809" s="81">
        <v>45883</v>
      </c>
      <c r="B809" s="82" t="s">
        <v>877</v>
      </c>
      <c r="C809" s="82" t="s">
        <v>36</v>
      </c>
      <c r="D809" s="82" t="s">
        <v>37</v>
      </c>
      <c r="E809" s="82" t="s">
        <v>47</v>
      </c>
      <c r="F809" s="83">
        <v>3</v>
      </c>
      <c r="G809" s="84">
        <v>132.62</v>
      </c>
      <c r="H809" s="85">
        <v>0.05</v>
      </c>
      <c r="I809" s="86">
        <f t="shared" si="24"/>
        <v>377.96699999999998</v>
      </c>
      <c r="J809" s="86">
        <v>183.02</v>
      </c>
      <c r="K809" s="86">
        <f t="shared" si="25"/>
        <v>194.94699999999997</v>
      </c>
      <c r="L809" s="87" t="s">
        <v>63</v>
      </c>
      <c r="M809" s="87" t="s">
        <v>60</v>
      </c>
      <c r="N809" s="88" t="s">
        <v>61</v>
      </c>
    </row>
    <row r="810" spans="1:14">
      <c r="A810" s="81">
        <v>45884</v>
      </c>
      <c r="B810" s="82" t="s">
        <v>878</v>
      </c>
      <c r="C810" s="82" t="s">
        <v>36</v>
      </c>
      <c r="D810" s="82" t="s">
        <v>27</v>
      </c>
      <c r="E810" s="82" t="s">
        <v>30</v>
      </c>
      <c r="F810" s="83">
        <v>6</v>
      </c>
      <c r="G810" s="84">
        <v>656.32</v>
      </c>
      <c r="H810" s="85">
        <v>0</v>
      </c>
      <c r="I810" s="86">
        <f t="shared" si="24"/>
        <v>3937.92</v>
      </c>
      <c r="J810" s="86">
        <v>2520.27</v>
      </c>
      <c r="K810" s="86">
        <f t="shared" si="25"/>
        <v>1417.65</v>
      </c>
      <c r="L810" s="87" t="s">
        <v>59</v>
      </c>
      <c r="M810" s="87" t="s">
        <v>64</v>
      </c>
      <c r="N810" s="88" t="s">
        <v>78</v>
      </c>
    </row>
    <row r="811" spans="1:14">
      <c r="A811" s="81">
        <v>45884</v>
      </c>
      <c r="B811" s="82" t="s">
        <v>879</v>
      </c>
      <c r="C811" s="82" t="s">
        <v>40</v>
      </c>
      <c r="D811" s="82" t="s">
        <v>27</v>
      </c>
      <c r="E811" s="82" t="s">
        <v>35</v>
      </c>
      <c r="F811" s="83">
        <v>2</v>
      </c>
      <c r="G811" s="84">
        <v>412.7</v>
      </c>
      <c r="H811" s="85">
        <v>0</v>
      </c>
      <c r="I811" s="86">
        <f t="shared" si="24"/>
        <v>825.4</v>
      </c>
      <c r="J811" s="86">
        <v>495.24</v>
      </c>
      <c r="K811" s="86">
        <f t="shared" si="25"/>
        <v>330.15999999999997</v>
      </c>
      <c r="L811" s="87" t="s">
        <v>63</v>
      </c>
      <c r="M811" s="87" t="s">
        <v>60</v>
      </c>
      <c r="N811" s="88" t="s">
        <v>74</v>
      </c>
    </row>
    <row r="812" spans="1:14">
      <c r="A812" s="81">
        <v>45885</v>
      </c>
      <c r="B812" s="82" t="s">
        <v>880</v>
      </c>
      <c r="C812" s="82" t="s">
        <v>40</v>
      </c>
      <c r="D812" s="82" t="s">
        <v>27</v>
      </c>
      <c r="E812" s="82" t="s">
        <v>35</v>
      </c>
      <c r="F812" s="83">
        <v>6</v>
      </c>
      <c r="G812" s="84">
        <v>395.71</v>
      </c>
      <c r="H812" s="85">
        <v>0.12</v>
      </c>
      <c r="I812" s="86">
        <f t="shared" si="24"/>
        <v>2089.3487999999998</v>
      </c>
      <c r="J812" s="86">
        <v>1424.56</v>
      </c>
      <c r="K812" s="86">
        <f t="shared" si="25"/>
        <v>664.78879999999981</v>
      </c>
      <c r="L812" s="87" t="s">
        <v>63</v>
      </c>
      <c r="M812" s="87" t="s">
        <v>64</v>
      </c>
      <c r="N812" s="88" t="s">
        <v>61</v>
      </c>
    </row>
    <row r="813" spans="1:14">
      <c r="A813" s="81">
        <v>45885</v>
      </c>
      <c r="B813" s="82" t="s">
        <v>881</v>
      </c>
      <c r="C813" s="82" t="s">
        <v>36</v>
      </c>
      <c r="D813" s="82" t="s">
        <v>27</v>
      </c>
      <c r="E813" s="82" t="s">
        <v>35</v>
      </c>
      <c r="F813" s="83">
        <v>3</v>
      </c>
      <c r="G813" s="84">
        <v>407.25</v>
      </c>
      <c r="H813" s="85">
        <v>0.1</v>
      </c>
      <c r="I813" s="86">
        <f t="shared" si="24"/>
        <v>1099.575</v>
      </c>
      <c r="J813" s="86">
        <v>733.05</v>
      </c>
      <c r="K813" s="86">
        <f t="shared" si="25"/>
        <v>366.52500000000009</v>
      </c>
      <c r="L813" s="87" t="s">
        <v>59</v>
      </c>
      <c r="M813" s="87" t="s">
        <v>64</v>
      </c>
      <c r="N813" s="88" t="s">
        <v>69</v>
      </c>
    </row>
    <row r="814" spans="1:14">
      <c r="A814" s="81">
        <v>45885</v>
      </c>
      <c r="B814" s="82" t="s">
        <v>882</v>
      </c>
      <c r="C814" s="82" t="s">
        <v>26</v>
      </c>
      <c r="D814" s="82" t="s">
        <v>27</v>
      </c>
      <c r="E814" s="82" t="s">
        <v>30</v>
      </c>
      <c r="F814" s="83">
        <v>12</v>
      </c>
      <c r="G814" s="84">
        <v>667.16</v>
      </c>
      <c r="H814" s="85">
        <v>0.08</v>
      </c>
      <c r="I814" s="86">
        <f t="shared" si="24"/>
        <v>7365.4464000000007</v>
      </c>
      <c r="J814" s="86">
        <v>5123.79</v>
      </c>
      <c r="K814" s="86">
        <f t="shared" si="25"/>
        <v>2241.6564000000008</v>
      </c>
      <c r="L814" s="87" t="s">
        <v>63</v>
      </c>
      <c r="M814" s="87" t="s">
        <v>68</v>
      </c>
      <c r="N814" s="88" t="s">
        <v>78</v>
      </c>
    </row>
    <row r="815" spans="1:14">
      <c r="A815" s="81">
        <v>45886</v>
      </c>
      <c r="B815" s="82" t="s">
        <v>883</v>
      </c>
      <c r="C815" s="82" t="s">
        <v>40</v>
      </c>
      <c r="D815" s="82" t="s">
        <v>32</v>
      </c>
      <c r="E815" s="82" t="s">
        <v>39</v>
      </c>
      <c r="F815" s="83">
        <v>3</v>
      </c>
      <c r="G815" s="84">
        <v>489.53</v>
      </c>
      <c r="H815" s="85">
        <v>0.12</v>
      </c>
      <c r="I815" s="86">
        <f t="shared" si="24"/>
        <v>1292.3591999999999</v>
      </c>
      <c r="J815" s="86">
        <v>837.1</v>
      </c>
      <c r="K815" s="86">
        <f t="shared" si="25"/>
        <v>455.25919999999985</v>
      </c>
      <c r="L815" s="87" t="s">
        <v>59</v>
      </c>
      <c r="M815" s="87" t="s">
        <v>60</v>
      </c>
      <c r="N815" s="88" t="s">
        <v>65</v>
      </c>
    </row>
    <row r="816" spans="1:14">
      <c r="A816" s="81">
        <v>45887</v>
      </c>
      <c r="B816" s="82" t="s">
        <v>884</v>
      </c>
      <c r="C816" s="82" t="s">
        <v>26</v>
      </c>
      <c r="D816" s="82" t="s">
        <v>27</v>
      </c>
      <c r="E816" s="82" t="s">
        <v>35</v>
      </c>
      <c r="F816" s="83">
        <v>13</v>
      </c>
      <c r="G816" s="84">
        <v>412.27</v>
      </c>
      <c r="H816" s="85">
        <v>0.12</v>
      </c>
      <c r="I816" s="86">
        <f t="shared" si="24"/>
        <v>4716.3688000000002</v>
      </c>
      <c r="J816" s="86">
        <v>3215.71</v>
      </c>
      <c r="K816" s="86">
        <f t="shared" si="25"/>
        <v>1500.6588000000002</v>
      </c>
      <c r="L816" s="87" t="s">
        <v>67</v>
      </c>
      <c r="M816" s="87" t="s">
        <v>68</v>
      </c>
      <c r="N816" s="88" t="s">
        <v>65</v>
      </c>
    </row>
    <row r="817" spans="1:14">
      <c r="A817" s="81">
        <v>45887</v>
      </c>
      <c r="B817" s="82" t="s">
        <v>885</v>
      </c>
      <c r="C817" s="82" t="s">
        <v>31</v>
      </c>
      <c r="D817" s="82" t="s">
        <v>37</v>
      </c>
      <c r="E817" s="82" t="s">
        <v>48</v>
      </c>
      <c r="F817" s="83">
        <v>2</v>
      </c>
      <c r="G817" s="84">
        <v>76.05</v>
      </c>
      <c r="H817" s="85">
        <v>0</v>
      </c>
      <c r="I817" s="86">
        <f t="shared" si="24"/>
        <v>152.1</v>
      </c>
      <c r="J817" s="86">
        <v>63.88</v>
      </c>
      <c r="K817" s="86">
        <f t="shared" si="25"/>
        <v>88.22</v>
      </c>
      <c r="L817" s="87" t="s">
        <v>67</v>
      </c>
      <c r="M817" s="87" t="s">
        <v>64</v>
      </c>
      <c r="N817" s="88" t="s">
        <v>71</v>
      </c>
    </row>
    <row r="818" spans="1:14">
      <c r="A818" s="81">
        <v>45887</v>
      </c>
      <c r="B818" s="82" t="s">
        <v>886</v>
      </c>
      <c r="C818" s="82" t="s">
        <v>36</v>
      </c>
      <c r="D818" s="82" t="s">
        <v>32</v>
      </c>
      <c r="E818" s="82" t="s">
        <v>46</v>
      </c>
      <c r="F818" s="83">
        <v>5</v>
      </c>
      <c r="G818" s="84">
        <v>99.46</v>
      </c>
      <c r="H818" s="85">
        <v>0.05</v>
      </c>
      <c r="I818" s="86">
        <f t="shared" si="24"/>
        <v>472.43499999999995</v>
      </c>
      <c r="J818" s="86">
        <v>238.7</v>
      </c>
      <c r="K818" s="86">
        <f t="shared" si="25"/>
        <v>233.73499999999996</v>
      </c>
      <c r="L818" s="87" t="s">
        <v>59</v>
      </c>
      <c r="M818" s="87" t="s">
        <v>64</v>
      </c>
      <c r="N818" s="88" t="s">
        <v>61</v>
      </c>
    </row>
    <row r="819" spans="1:14">
      <c r="A819" s="81">
        <v>45888</v>
      </c>
      <c r="B819" s="82" t="s">
        <v>887</v>
      </c>
      <c r="C819" s="82" t="s">
        <v>26</v>
      </c>
      <c r="D819" s="82" t="s">
        <v>32</v>
      </c>
      <c r="E819" s="82" t="s">
        <v>42</v>
      </c>
      <c r="F819" s="83">
        <v>8</v>
      </c>
      <c r="G819" s="84">
        <v>874.59</v>
      </c>
      <c r="H819" s="85">
        <v>0.1</v>
      </c>
      <c r="I819" s="86">
        <f t="shared" si="24"/>
        <v>6297.0480000000007</v>
      </c>
      <c r="J819" s="86">
        <v>4268</v>
      </c>
      <c r="K819" s="86">
        <f t="shared" si="25"/>
        <v>2029.0480000000007</v>
      </c>
      <c r="L819" s="87" t="s">
        <v>59</v>
      </c>
      <c r="M819" s="87" t="s">
        <v>60</v>
      </c>
      <c r="N819" s="88" t="s">
        <v>74</v>
      </c>
    </row>
    <row r="820" spans="1:14">
      <c r="A820" s="81">
        <v>45888</v>
      </c>
      <c r="B820" s="82" t="s">
        <v>888</v>
      </c>
      <c r="C820" s="82" t="s">
        <v>36</v>
      </c>
      <c r="D820" s="82" t="s">
        <v>32</v>
      </c>
      <c r="E820" s="82" t="s">
        <v>46</v>
      </c>
      <c r="F820" s="83">
        <v>2</v>
      </c>
      <c r="G820" s="84">
        <v>103.18</v>
      </c>
      <c r="H820" s="85">
        <v>0.05</v>
      </c>
      <c r="I820" s="86">
        <f t="shared" si="24"/>
        <v>196.042</v>
      </c>
      <c r="J820" s="86">
        <v>99.05</v>
      </c>
      <c r="K820" s="86">
        <f t="shared" si="25"/>
        <v>96.992000000000004</v>
      </c>
      <c r="L820" s="87" t="s">
        <v>63</v>
      </c>
      <c r="M820" s="87" t="s">
        <v>64</v>
      </c>
      <c r="N820" s="88" t="s">
        <v>61</v>
      </c>
    </row>
    <row r="821" spans="1:14">
      <c r="A821" s="81">
        <v>45888</v>
      </c>
      <c r="B821" s="82" t="s">
        <v>889</v>
      </c>
      <c r="C821" s="82" t="s">
        <v>36</v>
      </c>
      <c r="D821" s="82" t="s">
        <v>32</v>
      </c>
      <c r="E821" s="82" t="s">
        <v>42</v>
      </c>
      <c r="F821" s="83">
        <v>9</v>
      </c>
      <c r="G821" s="84">
        <v>878.05</v>
      </c>
      <c r="H821" s="85">
        <v>0.05</v>
      </c>
      <c r="I821" s="86">
        <f t="shared" si="24"/>
        <v>7507.3274999999994</v>
      </c>
      <c r="J821" s="86">
        <v>4820.49</v>
      </c>
      <c r="K821" s="86">
        <f t="shared" si="25"/>
        <v>2686.8374999999996</v>
      </c>
      <c r="L821" s="87" t="s">
        <v>67</v>
      </c>
      <c r="M821" s="87" t="s">
        <v>64</v>
      </c>
      <c r="N821" s="88" t="s">
        <v>78</v>
      </c>
    </row>
    <row r="822" spans="1:14">
      <c r="A822" s="81">
        <v>45888</v>
      </c>
      <c r="B822" s="82" t="s">
        <v>890</v>
      </c>
      <c r="C822" s="82" t="s">
        <v>31</v>
      </c>
      <c r="D822" s="82" t="s">
        <v>32</v>
      </c>
      <c r="E822" s="82" t="s">
        <v>46</v>
      </c>
      <c r="F822" s="83">
        <v>2</v>
      </c>
      <c r="G822" s="84">
        <v>105.44</v>
      </c>
      <c r="H822" s="85">
        <v>0.1</v>
      </c>
      <c r="I822" s="86">
        <f t="shared" si="24"/>
        <v>189.792</v>
      </c>
      <c r="J822" s="86">
        <v>101.22</v>
      </c>
      <c r="K822" s="86">
        <f t="shared" si="25"/>
        <v>88.572000000000003</v>
      </c>
      <c r="L822" s="87" t="s">
        <v>67</v>
      </c>
      <c r="M822" s="87" t="s">
        <v>68</v>
      </c>
      <c r="N822" s="88" t="s">
        <v>74</v>
      </c>
    </row>
    <row r="823" spans="1:14">
      <c r="A823" s="81">
        <v>45888</v>
      </c>
      <c r="B823" s="82" t="s">
        <v>891</v>
      </c>
      <c r="C823" s="82" t="s">
        <v>40</v>
      </c>
      <c r="D823" s="82" t="s">
        <v>32</v>
      </c>
      <c r="E823" s="82" t="s">
        <v>46</v>
      </c>
      <c r="F823" s="83">
        <v>6</v>
      </c>
      <c r="G823" s="84">
        <v>107.88</v>
      </c>
      <c r="H823" s="85">
        <v>0.03</v>
      </c>
      <c r="I823" s="86">
        <f t="shared" si="24"/>
        <v>627.86159999999995</v>
      </c>
      <c r="J823" s="86">
        <v>310.69</v>
      </c>
      <c r="K823" s="86">
        <f t="shared" si="25"/>
        <v>317.17159999999996</v>
      </c>
      <c r="L823" s="87" t="s">
        <v>59</v>
      </c>
      <c r="M823" s="87" t="s">
        <v>60</v>
      </c>
      <c r="N823" s="88" t="s">
        <v>61</v>
      </c>
    </row>
    <row r="824" spans="1:14">
      <c r="A824" s="81">
        <v>45891</v>
      </c>
      <c r="B824" s="82" t="s">
        <v>892</v>
      </c>
      <c r="C824" s="82" t="s">
        <v>26</v>
      </c>
      <c r="D824" s="82" t="s">
        <v>32</v>
      </c>
      <c r="E824" s="82" t="s">
        <v>39</v>
      </c>
      <c r="F824" s="83">
        <v>2</v>
      </c>
      <c r="G824" s="84">
        <v>495.3</v>
      </c>
      <c r="H824" s="85">
        <v>0</v>
      </c>
      <c r="I824" s="86">
        <f t="shared" si="24"/>
        <v>990.6</v>
      </c>
      <c r="J824" s="86">
        <v>564.64</v>
      </c>
      <c r="K824" s="86">
        <f t="shared" si="25"/>
        <v>425.96000000000004</v>
      </c>
      <c r="L824" s="87" t="s">
        <v>63</v>
      </c>
      <c r="M824" s="87" t="s">
        <v>64</v>
      </c>
      <c r="N824" s="88" t="s">
        <v>74</v>
      </c>
    </row>
    <row r="825" spans="1:14">
      <c r="A825" s="81">
        <v>45892</v>
      </c>
      <c r="B825" s="82" t="s">
        <v>893</v>
      </c>
      <c r="C825" s="82" t="s">
        <v>26</v>
      </c>
      <c r="D825" s="82" t="s">
        <v>37</v>
      </c>
      <c r="E825" s="82" t="s">
        <v>48</v>
      </c>
      <c r="F825" s="83">
        <v>4</v>
      </c>
      <c r="G825" s="84">
        <v>73.7</v>
      </c>
      <c r="H825" s="85">
        <v>0.12</v>
      </c>
      <c r="I825" s="86">
        <f t="shared" si="24"/>
        <v>259.42400000000004</v>
      </c>
      <c r="J825" s="86">
        <v>123.82</v>
      </c>
      <c r="K825" s="86">
        <f t="shared" si="25"/>
        <v>135.60400000000004</v>
      </c>
      <c r="L825" s="87" t="s">
        <v>63</v>
      </c>
      <c r="M825" s="87" t="s">
        <v>64</v>
      </c>
      <c r="N825" s="88" t="s">
        <v>71</v>
      </c>
    </row>
    <row r="826" spans="1:14">
      <c r="A826" s="81">
        <v>45893</v>
      </c>
      <c r="B826" s="82" t="s">
        <v>894</v>
      </c>
      <c r="C826" s="82" t="s">
        <v>26</v>
      </c>
      <c r="D826" s="82" t="s">
        <v>37</v>
      </c>
      <c r="E826" s="82" t="s">
        <v>47</v>
      </c>
      <c r="F826" s="83">
        <v>6</v>
      </c>
      <c r="G826" s="84">
        <v>135.59</v>
      </c>
      <c r="H826" s="85">
        <v>0.1</v>
      </c>
      <c r="I826" s="86">
        <f t="shared" si="24"/>
        <v>732.18600000000004</v>
      </c>
      <c r="J826" s="86">
        <v>374.23</v>
      </c>
      <c r="K826" s="86">
        <f t="shared" si="25"/>
        <v>357.95600000000002</v>
      </c>
      <c r="L826" s="87" t="s">
        <v>67</v>
      </c>
      <c r="M826" s="87" t="s">
        <v>68</v>
      </c>
      <c r="N826" s="88" t="s">
        <v>74</v>
      </c>
    </row>
    <row r="827" spans="1:14">
      <c r="A827" s="81">
        <v>45894</v>
      </c>
      <c r="B827" s="82" t="s">
        <v>895</v>
      </c>
      <c r="C827" s="82" t="s">
        <v>31</v>
      </c>
      <c r="D827" s="82" t="s">
        <v>37</v>
      </c>
      <c r="E827" s="82" t="s">
        <v>47</v>
      </c>
      <c r="F827" s="83">
        <v>10</v>
      </c>
      <c r="G827" s="84">
        <v>136.53</v>
      </c>
      <c r="H827" s="85">
        <v>0.1</v>
      </c>
      <c r="I827" s="86">
        <f t="shared" si="24"/>
        <v>1228.77</v>
      </c>
      <c r="J827" s="86">
        <v>628.04</v>
      </c>
      <c r="K827" s="86">
        <f t="shared" si="25"/>
        <v>600.73</v>
      </c>
      <c r="L827" s="87" t="s">
        <v>59</v>
      </c>
      <c r="M827" s="87" t="s">
        <v>68</v>
      </c>
      <c r="N827" s="88" t="s">
        <v>71</v>
      </c>
    </row>
    <row r="828" spans="1:14">
      <c r="A828" s="81">
        <v>45894</v>
      </c>
      <c r="B828" s="82" t="s">
        <v>896</v>
      </c>
      <c r="C828" s="82" t="s">
        <v>31</v>
      </c>
      <c r="D828" s="82" t="s">
        <v>27</v>
      </c>
      <c r="E828" s="82" t="s">
        <v>25</v>
      </c>
      <c r="F828" s="83">
        <v>7</v>
      </c>
      <c r="G828" s="84">
        <v>1310.01</v>
      </c>
      <c r="H828" s="85">
        <v>0.1</v>
      </c>
      <c r="I828" s="86">
        <f t="shared" si="24"/>
        <v>8253.0630000000001</v>
      </c>
      <c r="J828" s="86">
        <v>6235.65</v>
      </c>
      <c r="K828" s="86">
        <f t="shared" si="25"/>
        <v>2017.4130000000005</v>
      </c>
      <c r="L828" s="87" t="s">
        <v>63</v>
      </c>
      <c r="M828" s="87" t="s">
        <v>68</v>
      </c>
      <c r="N828" s="88" t="s">
        <v>69</v>
      </c>
    </row>
    <row r="829" spans="1:14">
      <c r="A829" s="81">
        <v>45895</v>
      </c>
      <c r="B829" s="82" t="s">
        <v>897</v>
      </c>
      <c r="C829" s="82" t="s">
        <v>40</v>
      </c>
      <c r="D829" s="82" t="s">
        <v>27</v>
      </c>
      <c r="E829" s="82" t="s">
        <v>35</v>
      </c>
      <c r="F829" s="83">
        <v>6</v>
      </c>
      <c r="G829" s="84">
        <v>383.18</v>
      </c>
      <c r="H829" s="85">
        <v>0.08</v>
      </c>
      <c r="I829" s="86">
        <f t="shared" si="24"/>
        <v>2115.1536000000001</v>
      </c>
      <c r="J829" s="86">
        <v>1379.45</v>
      </c>
      <c r="K829" s="86">
        <f t="shared" si="25"/>
        <v>735.70360000000005</v>
      </c>
      <c r="L829" s="87" t="s">
        <v>63</v>
      </c>
      <c r="M829" s="87" t="s">
        <v>60</v>
      </c>
      <c r="N829" s="88" t="s">
        <v>65</v>
      </c>
    </row>
    <row r="830" spans="1:14">
      <c r="A830" s="81">
        <v>45895</v>
      </c>
      <c r="B830" s="82" t="s">
        <v>898</v>
      </c>
      <c r="C830" s="82" t="s">
        <v>40</v>
      </c>
      <c r="D830" s="82" t="s">
        <v>37</v>
      </c>
      <c r="E830" s="82" t="s">
        <v>47</v>
      </c>
      <c r="F830" s="83">
        <v>2</v>
      </c>
      <c r="G830" s="84">
        <v>133.57</v>
      </c>
      <c r="H830" s="85">
        <v>0.1</v>
      </c>
      <c r="I830" s="86">
        <f t="shared" si="24"/>
        <v>240.42599999999999</v>
      </c>
      <c r="J830" s="86">
        <v>122.88</v>
      </c>
      <c r="K830" s="86">
        <f t="shared" si="25"/>
        <v>117.54599999999999</v>
      </c>
      <c r="L830" s="87" t="s">
        <v>63</v>
      </c>
      <c r="M830" s="87" t="s">
        <v>60</v>
      </c>
      <c r="N830" s="88" t="s">
        <v>71</v>
      </c>
    </row>
    <row r="831" spans="1:14">
      <c r="A831" s="81">
        <v>45895</v>
      </c>
      <c r="B831" s="82" t="s">
        <v>899</v>
      </c>
      <c r="C831" s="82" t="s">
        <v>36</v>
      </c>
      <c r="D831" s="82" t="s">
        <v>32</v>
      </c>
      <c r="E831" s="82" t="s">
        <v>39</v>
      </c>
      <c r="F831" s="83">
        <v>5</v>
      </c>
      <c r="G831" s="84">
        <v>455.97</v>
      </c>
      <c r="H831" s="85">
        <v>0.08</v>
      </c>
      <c r="I831" s="86">
        <f t="shared" si="24"/>
        <v>2097.4620000000004</v>
      </c>
      <c r="J831" s="86">
        <v>1299.51</v>
      </c>
      <c r="K831" s="86">
        <f t="shared" si="25"/>
        <v>797.95200000000045</v>
      </c>
      <c r="L831" s="87" t="s">
        <v>63</v>
      </c>
      <c r="M831" s="87" t="s">
        <v>64</v>
      </c>
      <c r="N831" s="88" t="s">
        <v>65</v>
      </c>
    </row>
    <row r="832" spans="1:14">
      <c r="A832" s="81">
        <v>45896</v>
      </c>
      <c r="B832" s="82" t="s">
        <v>900</v>
      </c>
      <c r="C832" s="82" t="s">
        <v>36</v>
      </c>
      <c r="D832" s="82" t="s">
        <v>27</v>
      </c>
      <c r="E832" s="82" t="s">
        <v>30</v>
      </c>
      <c r="F832" s="83">
        <v>9</v>
      </c>
      <c r="G832" s="84">
        <v>693.61</v>
      </c>
      <c r="H832" s="85">
        <v>0.12</v>
      </c>
      <c r="I832" s="86">
        <f t="shared" si="24"/>
        <v>5493.3912</v>
      </c>
      <c r="J832" s="86">
        <v>3995.19</v>
      </c>
      <c r="K832" s="86">
        <f t="shared" si="25"/>
        <v>1498.2012</v>
      </c>
      <c r="L832" s="87" t="s">
        <v>63</v>
      </c>
      <c r="M832" s="87" t="s">
        <v>64</v>
      </c>
      <c r="N832" s="88" t="s">
        <v>74</v>
      </c>
    </row>
    <row r="833" spans="1:14">
      <c r="A833" s="81">
        <v>45896</v>
      </c>
      <c r="B833" s="82" t="s">
        <v>901</v>
      </c>
      <c r="C833" s="82" t="s">
        <v>36</v>
      </c>
      <c r="D833" s="82" t="s">
        <v>32</v>
      </c>
      <c r="E833" s="82" t="s">
        <v>39</v>
      </c>
      <c r="F833" s="83">
        <v>7</v>
      </c>
      <c r="G833" s="84">
        <v>486.33</v>
      </c>
      <c r="H833" s="85">
        <v>0.08</v>
      </c>
      <c r="I833" s="86">
        <f t="shared" si="24"/>
        <v>3131.9652000000001</v>
      </c>
      <c r="J833" s="86">
        <v>1940.46</v>
      </c>
      <c r="K833" s="86">
        <f t="shared" si="25"/>
        <v>1191.5052000000001</v>
      </c>
      <c r="L833" s="87" t="s">
        <v>59</v>
      </c>
      <c r="M833" s="87" t="s">
        <v>64</v>
      </c>
      <c r="N833" s="88" t="s">
        <v>65</v>
      </c>
    </row>
    <row r="834" spans="1:14">
      <c r="A834" s="81">
        <v>45896</v>
      </c>
      <c r="B834" s="82" t="s">
        <v>902</v>
      </c>
      <c r="C834" s="82" t="s">
        <v>26</v>
      </c>
      <c r="D834" s="82" t="s">
        <v>27</v>
      </c>
      <c r="E834" s="82" t="s">
        <v>30</v>
      </c>
      <c r="F834" s="83">
        <v>7</v>
      </c>
      <c r="G834" s="84">
        <v>699.88</v>
      </c>
      <c r="H834" s="85">
        <v>0.12</v>
      </c>
      <c r="I834" s="86">
        <f t="shared" ref="I834:I897" si="26">F834*G834*(1-H834)</f>
        <v>4311.2608</v>
      </c>
      <c r="J834" s="86">
        <v>3135.46</v>
      </c>
      <c r="K834" s="86">
        <f t="shared" ref="K834:K897" si="27">I834-J834</f>
        <v>1175.8008</v>
      </c>
      <c r="L834" s="87" t="s">
        <v>67</v>
      </c>
      <c r="M834" s="87" t="s">
        <v>64</v>
      </c>
      <c r="N834" s="88" t="s">
        <v>71</v>
      </c>
    </row>
    <row r="835" spans="1:14">
      <c r="A835" s="81">
        <v>45896</v>
      </c>
      <c r="B835" s="82" t="s">
        <v>903</v>
      </c>
      <c r="C835" s="82" t="s">
        <v>36</v>
      </c>
      <c r="D835" s="82" t="s">
        <v>37</v>
      </c>
      <c r="E835" s="82" t="s">
        <v>48</v>
      </c>
      <c r="F835" s="83">
        <v>6</v>
      </c>
      <c r="G835" s="84">
        <v>74.260000000000005</v>
      </c>
      <c r="H835" s="85">
        <v>0.12</v>
      </c>
      <c r="I835" s="86">
        <f t="shared" si="26"/>
        <v>392.09280000000007</v>
      </c>
      <c r="J835" s="86">
        <v>187.14</v>
      </c>
      <c r="K835" s="86">
        <f t="shared" si="27"/>
        <v>204.95280000000008</v>
      </c>
      <c r="L835" s="87" t="s">
        <v>67</v>
      </c>
      <c r="M835" s="87" t="s">
        <v>64</v>
      </c>
      <c r="N835" s="88" t="s">
        <v>65</v>
      </c>
    </row>
    <row r="836" spans="1:14">
      <c r="A836" s="81">
        <v>45897</v>
      </c>
      <c r="B836" s="82" t="s">
        <v>904</v>
      </c>
      <c r="C836" s="82" t="s">
        <v>36</v>
      </c>
      <c r="D836" s="82" t="s">
        <v>37</v>
      </c>
      <c r="E836" s="82" t="s">
        <v>48</v>
      </c>
      <c r="F836" s="83">
        <v>10</v>
      </c>
      <c r="G836" s="84">
        <v>77.06</v>
      </c>
      <c r="H836" s="85">
        <v>0.03</v>
      </c>
      <c r="I836" s="86">
        <f t="shared" si="26"/>
        <v>747.48199999999997</v>
      </c>
      <c r="J836" s="86">
        <v>323.64999999999998</v>
      </c>
      <c r="K836" s="86">
        <f t="shared" si="27"/>
        <v>423.83199999999999</v>
      </c>
      <c r="L836" s="87" t="s">
        <v>63</v>
      </c>
      <c r="M836" s="87" t="s">
        <v>68</v>
      </c>
      <c r="N836" s="88" t="s">
        <v>78</v>
      </c>
    </row>
    <row r="837" spans="1:14">
      <c r="A837" s="81">
        <v>45899</v>
      </c>
      <c r="B837" s="82" t="s">
        <v>905</v>
      </c>
      <c r="C837" s="82" t="s">
        <v>40</v>
      </c>
      <c r="D837" s="82" t="s">
        <v>27</v>
      </c>
      <c r="E837" s="82" t="s">
        <v>30</v>
      </c>
      <c r="F837" s="83">
        <v>8</v>
      </c>
      <c r="G837" s="84">
        <v>695.47</v>
      </c>
      <c r="H837" s="85">
        <v>0.03</v>
      </c>
      <c r="I837" s="86">
        <f t="shared" si="26"/>
        <v>5396.8472000000002</v>
      </c>
      <c r="J837" s="86">
        <v>3560.81</v>
      </c>
      <c r="K837" s="86">
        <f t="shared" si="27"/>
        <v>1836.0372000000002</v>
      </c>
      <c r="L837" s="87" t="s">
        <v>59</v>
      </c>
      <c r="M837" s="87" t="s">
        <v>64</v>
      </c>
      <c r="N837" s="88" t="s">
        <v>71</v>
      </c>
    </row>
    <row r="838" spans="1:14">
      <c r="A838" s="81">
        <v>45899</v>
      </c>
      <c r="B838" s="82" t="s">
        <v>906</v>
      </c>
      <c r="C838" s="82" t="s">
        <v>40</v>
      </c>
      <c r="D838" s="82" t="s">
        <v>32</v>
      </c>
      <c r="E838" s="82" t="s">
        <v>46</v>
      </c>
      <c r="F838" s="83">
        <v>8</v>
      </c>
      <c r="G838" s="84">
        <v>104.94</v>
      </c>
      <c r="H838" s="85">
        <v>0.12</v>
      </c>
      <c r="I838" s="86">
        <f t="shared" si="26"/>
        <v>738.77760000000001</v>
      </c>
      <c r="J838" s="86">
        <v>402.97</v>
      </c>
      <c r="K838" s="86">
        <f t="shared" si="27"/>
        <v>335.80759999999998</v>
      </c>
      <c r="L838" s="87" t="s">
        <v>63</v>
      </c>
      <c r="M838" s="87" t="s">
        <v>64</v>
      </c>
      <c r="N838" s="88" t="s">
        <v>74</v>
      </c>
    </row>
    <row r="839" spans="1:14">
      <c r="A839" s="81">
        <v>45900</v>
      </c>
      <c r="B839" s="82" t="s">
        <v>907</v>
      </c>
      <c r="C839" s="82" t="s">
        <v>31</v>
      </c>
      <c r="D839" s="82" t="s">
        <v>37</v>
      </c>
      <c r="E839" s="82" t="s">
        <v>47</v>
      </c>
      <c r="F839" s="83">
        <v>8</v>
      </c>
      <c r="G839" s="84">
        <v>133.87</v>
      </c>
      <c r="H839" s="85">
        <v>0</v>
      </c>
      <c r="I839" s="86">
        <f t="shared" si="26"/>
        <v>1070.96</v>
      </c>
      <c r="J839" s="86">
        <v>492.64</v>
      </c>
      <c r="K839" s="86">
        <f t="shared" si="27"/>
        <v>578.32000000000005</v>
      </c>
      <c r="L839" s="87" t="s">
        <v>67</v>
      </c>
      <c r="M839" s="87" t="s">
        <v>64</v>
      </c>
      <c r="N839" s="88" t="s">
        <v>69</v>
      </c>
    </row>
    <row r="840" spans="1:14">
      <c r="A840" s="81">
        <v>45902</v>
      </c>
      <c r="B840" s="82" t="s">
        <v>908</v>
      </c>
      <c r="C840" s="82" t="s">
        <v>31</v>
      </c>
      <c r="D840" s="82" t="s">
        <v>37</v>
      </c>
      <c r="E840" s="82" t="s">
        <v>47</v>
      </c>
      <c r="F840" s="83">
        <v>5</v>
      </c>
      <c r="G840" s="84">
        <v>129.91999999999999</v>
      </c>
      <c r="H840" s="85">
        <v>0</v>
      </c>
      <c r="I840" s="86">
        <f t="shared" si="26"/>
        <v>649.59999999999991</v>
      </c>
      <c r="J840" s="86">
        <v>298.82</v>
      </c>
      <c r="K840" s="86">
        <f t="shared" si="27"/>
        <v>350.77999999999992</v>
      </c>
      <c r="L840" s="87" t="s">
        <v>67</v>
      </c>
      <c r="M840" s="87" t="s">
        <v>60</v>
      </c>
      <c r="N840" s="88" t="s">
        <v>71</v>
      </c>
    </row>
    <row r="841" spans="1:14">
      <c r="A841" s="81">
        <v>45904</v>
      </c>
      <c r="B841" s="82" t="s">
        <v>909</v>
      </c>
      <c r="C841" s="82" t="s">
        <v>26</v>
      </c>
      <c r="D841" s="82" t="s">
        <v>32</v>
      </c>
      <c r="E841" s="82" t="s">
        <v>39</v>
      </c>
      <c r="F841" s="83">
        <v>3</v>
      </c>
      <c r="G841" s="84">
        <v>477.73</v>
      </c>
      <c r="H841" s="85">
        <v>0.1</v>
      </c>
      <c r="I841" s="86">
        <f t="shared" si="26"/>
        <v>1289.8710000000001</v>
      </c>
      <c r="J841" s="86">
        <v>816.92</v>
      </c>
      <c r="K841" s="86">
        <f t="shared" si="27"/>
        <v>472.95100000000014</v>
      </c>
      <c r="L841" s="87" t="s">
        <v>67</v>
      </c>
      <c r="M841" s="87" t="s">
        <v>64</v>
      </c>
      <c r="N841" s="88" t="s">
        <v>65</v>
      </c>
    </row>
    <row r="842" spans="1:14">
      <c r="A842" s="81">
        <v>45906</v>
      </c>
      <c r="B842" s="82" t="s">
        <v>910</v>
      </c>
      <c r="C842" s="82" t="s">
        <v>40</v>
      </c>
      <c r="D842" s="82" t="s">
        <v>37</v>
      </c>
      <c r="E842" s="82" t="s">
        <v>47</v>
      </c>
      <c r="F842" s="83">
        <v>4</v>
      </c>
      <c r="G842" s="84">
        <v>127.81</v>
      </c>
      <c r="H842" s="85">
        <v>0.05</v>
      </c>
      <c r="I842" s="86">
        <f t="shared" si="26"/>
        <v>485.678</v>
      </c>
      <c r="J842" s="86">
        <v>235.17</v>
      </c>
      <c r="K842" s="86">
        <f t="shared" si="27"/>
        <v>250.50800000000001</v>
      </c>
      <c r="L842" s="87" t="s">
        <v>67</v>
      </c>
      <c r="M842" s="87" t="s">
        <v>68</v>
      </c>
      <c r="N842" s="88" t="s">
        <v>71</v>
      </c>
    </row>
    <row r="843" spans="1:14">
      <c r="A843" s="81">
        <v>45908</v>
      </c>
      <c r="B843" s="82" t="s">
        <v>911</v>
      </c>
      <c r="C843" s="82" t="s">
        <v>40</v>
      </c>
      <c r="D843" s="82" t="s">
        <v>32</v>
      </c>
      <c r="E843" s="82" t="s">
        <v>39</v>
      </c>
      <c r="F843" s="83">
        <v>4</v>
      </c>
      <c r="G843" s="84">
        <v>492.03</v>
      </c>
      <c r="H843" s="85">
        <v>0</v>
      </c>
      <c r="I843" s="86">
        <f t="shared" si="26"/>
        <v>1968.12</v>
      </c>
      <c r="J843" s="86">
        <v>1121.83</v>
      </c>
      <c r="K843" s="86">
        <f t="shared" si="27"/>
        <v>846.29</v>
      </c>
      <c r="L843" s="87" t="s">
        <v>63</v>
      </c>
      <c r="M843" s="87" t="s">
        <v>68</v>
      </c>
      <c r="N843" s="88" t="s">
        <v>65</v>
      </c>
    </row>
    <row r="844" spans="1:14">
      <c r="A844" s="81">
        <v>45910</v>
      </c>
      <c r="B844" s="82" t="s">
        <v>912</v>
      </c>
      <c r="C844" s="82" t="s">
        <v>40</v>
      </c>
      <c r="D844" s="82" t="s">
        <v>27</v>
      </c>
      <c r="E844" s="82" t="s">
        <v>30</v>
      </c>
      <c r="F844" s="83">
        <v>9</v>
      </c>
      <c r="G844" s="84">
        <v>662.45</v>
      </c>
      <c r="H844" s="85">
        <v>0</v>
      </c>
      <c r="I844" s="86">
        <f t="shared" si="26"/>
        <v>5962.05</v>
      </c>
      <c r="J844" s="86">
        <v>3815.71</v>
      </c>
      <c r="K844" s="86">
        <f t="shared" si="27"/>
        <v>2146.34</v>
      </c>
      <c r="L844" s="87" t="s">
        <v>67</v>
      </c>
      <c r="M844" s="87" t="s">
        <v>60</v>
      </c>
      <c r="N844" s="88" t="s">
        <v>74</v>
      </c>
    </row>
    <row r="845" spans="1:14">
      <c r="A845" s="81">
        <v>45911</v>
      </c>
      <c r="B845" s="82" t="s">
        <v>913</v>
      </c>
      <c r="C845" s="82" t="s">
        <v>36</v>
      </c>
      <c r="D845" s="82" t="s">
        <v>27</v>
      </c>
      <c r="E845" s="82" t="s">
        <v>25</v>
      </c>
      <c r="F845" s="83">
        <v>8</v>
      </c>
      <c r="G845" s="84">
        <v>1310.5999999999999</v>
      </c>
      <c r="H845" s="85">
        <v>0.03</v>
      </c>
      <c r="I845" s="86">
        <f t="shared" si="26"/>
        <v>10170.255999999999</v>
      </c>
      <c r="J845" s="86">
        <v>7129.66</v>
      </c>
      <c r="K845" s="86">
        <f t="shared" si="27"/>
        <v>3040.5959999999995</v>
      </c>
      <c r="L845" s="87" t="s">
        <v>59</v>
      </c>
      <c r="M845" s="87" t="s">
        <v>60</v>
      </c>
      <c r="N845" s="88" t="s">
        <v>78</v>
      </c>
    </row>
    <row r="846" spans="1:14">
      <c r="A846" s="81">
        <v>45913</v>
      </c>
      <c r="B846" s="82" t="s">
        <v>914</v>
      </c>
      <c r="C846" s="82" t="s">
        <v>40</v>
      </c>
      <c r="D846" s="82" t="s">
        <v>32</v>
      </c>
      <c r="E846" s="82" t="s">
        <v>42</v>
      </c>
      <c r="F846" s="83">
        <v>2</v>
      </c>
      <c r="G846" s="84">
        <v>843.09</v>
      </c>
      <c r="H846" s="85">
        <v>0.05</v>
      </c>
      <c r="I846" s="86">
        <f t="shared" si="26"/>
        <v>1601.8710000000001</v>
      </c>
      <c r="J846" s="86">
        <v>1028.57</v>
      </c>
      <c r="K846" s="86">
        <f t="shared" si="27"/>
        <v>573.30100000000016</v>
      </c>
      <c r="L846" s="87" t="s">
        <v>59</v>
      </c>
      <c r="M846" s="87" t="s">
        <v>60</v>
      </c>
      <c r="N846" s="88" t="s">
        <v>61</v>
      </c>
    </row>
    <row r="847" spans="1:14">
      <c r="A847" s="81">
        <v>45913</v>
      </c>
      <c r="B847" s="82" t="s">
        <v>915</v>
      </c>
      <c r="C847" s="82" t="s">
        <v>31</v>
      </c>
      <c r="D847" s="82" t="s">
        <v>37</v>
      </c>
      <c r="E847" s="82" t="s">
        <v>48</v>
      </c>
      <c r="F847" s="83">
        <v>8</v>
      </c>
      <c r="G847" s="84">
        <v>72.33</v>
      </c>
      <c r="H847" s="85">
        <v>0.05</v>
      </c>
      <c r="I847" s="86">
        <f t="shared" si="26"/>
        <v>549.70799999999997</v>
      </c>
      <c r="J847" s="86">
        <v>243.03</v>
      </c>
      <c r="K847" s="86">
        <f t="shared" si="27"/>
        <v>306.678</v>
      </c>
      <c r="L847" s="87" t="s">
        <v>67</v>
      </c>
      <c r="M847" s="87" t="s">
        <v>60</v>
      </c>
      <c r="N847" s="88" t="s">
        <v>78</v>
      </c>
    </row>
    <row r="848" spans="1:14">
      <c r="A848" s="81">
        <v>45913</v>
      </c>
      <c r="B848" s="82" t="s">
        <v>916</v>
      </c>
      <c r="C848" s="82" t="s">
        <v>31</v>
      </c>
      <c r="D848" s="82" t="s">
        <v>37</v>
      </c>
      <c r="E848" s="82" t="s">
        <v>48</v>
      </c>
      <c r="F848" s="83">
        <v>6</v>
      </c>
      <c r="G848" s="84">
        <v>75.510000000000005</v>
      </c>
      <c r="H848" s="85">
        <v>0.05</v>
      </c>
      <c r="I848" s="86">
        <f t="shared" si="26"/>
        <v>430.40700000000004</v>
      </c>
      <c r="J848" s="86">
        <v>190.29</v>
      </c>
      <c r="K848" s="86">
        <f t="shared" si="27"/>
        <v>240.11700000000005</v>
      </c>
      <c r="L848" s="87" t="s">
        <v>67</v>
      </c>
      <c r="M848" s="87" t="s">
        <v>64</v>
      </c>
      <c r="N848" s="88" t="s">
        <v>71</v>
      </c>
    </row>
    <row r="849" spans="1:14">
      <c r="A849" s="81">
        <v>45914</v>
      </c>
      <c r="B849" s="82" t="s">
        <v>917</v>
      </c>
      <c r="C849" s="82" t="s">
        <v>26</v>
      </c>
      <c r="D849" s="82" t="s">
        <v>27</v>
      </c>
      <c r="E849" s="82" t="s">
        <v>35</v>
      </c>
      <c r="F849" s="83">
        <v>9</v>
      </c>
      <c r="G849" s="84">
        <v>414.27</v>
      </c>
      <c r="H849" s="85">
        <v>0.08</v>
      </c>
      <c r="I849" s="86">
        <f t="shared" si="26"/>
        <v>3430.1556</v>
      </c>
      <c r="J849" s="86">
        <v>2237.06</v>
      </c>
      <c r="K849" s="86">
        <f t="shared" si="27"/>
        <v>1193.0956000000001</v>
      </c>
      <c r="L849" s="87" t="s">
        <v>63</v>
      </c>
      <c r="M849" s="87" t="s">
        <v>64</v>
      </c>
      <c r="N849" s="88" t="s">
        <v>78</v>
      </c>
    </row>
    <row r="850" spans="1:14">
      <c r="A850" s="81">
        <v>45915</v>
      </c>
      <c r="B850" s="82" t="s">
        <v>918</v>
      </c>
      <c r="C850" s="82" t="s">
        <v>36</v>
      </c>
      <c r="D850" s="82" t="s">
        <v>32</v>
      </c>
      <c r="E850" s="82" t="s">
        <v>46</v>
      </c>
      <c r="F850" s="83">
        <v>8</v>
      </c>
      <c r="G850" s="84">
        <v>101.58</v>
      </c>
      <c r="H850" s="85">
        <v>0.08</v>
      </c>
      <c r="I850" s="86">
        <f t="shared" si="26"/>
        <v>747.62880000000007</v>
      </c>
      <c r="J850" s="86">
        <v>390.07</v>
      </c>
      <c r="K850" s="86">
        <f t="shared" si="27"/>
        <v>357.55880000000008</v>
      </c>
      <c r="L850" s="87" t="s">
        <v>59</v>
      </c>
      <c r="M850" s="87" t="s">
        <v>68</v>
      </c>
      <c r="N850" s="88" t="s">
        <v>74</v>
      </c>
    </row>
    <row r="851" spans="1:14">
      <c r="A851" s="81">
        <v>45917</v>
      </c>
      <c r="B851" s="82" t="s">
        <v>919</v>
      </c>
      <c r="C851" s="82" t="s">
        <v>31</v>
      </c>
      <c r="D851" s="82" t="s">
        <v>32</v>
      </c>
      <c r="E851" s="82" t="s">
        <v>42</v>
      </c>
      <c r="F851" s="83">
        <v>2</v>
      </c>
      <c r="G851" s="84">
        <v>842.31</v>
      </c>
      <c r="H851" s="85">
        <v>0.05</v>
      </c>
      <c r="I851" s="86">
        <f t="shared" si="26"/>
        <v>1600.3889999999999</v>
      </c>
      <c r="J851" s="86">
        <v>1027.6199999999999</v>
      </c>
      <c r="K851" s="86">
        <f t="shared" si="27"/>
        <v>572.76900000000001</v>
      </c>
      <c r="L851" s="87" t="s">
        <v>59</v>
      </c>
      <c r="M851" s="87" t="s">
        <v>60</v>
      </c>
      <c r="N851" s="88" t="s">
        <v>74</v>
      </c>
    </row>
    <row r="852" spans="1:14">
      <c r="A852" s="81">
        <v>45917</v>
      </c>
      <c r="B852" s="82" t="s">
        <v>920</v>
      </c>
      <c r="C852" s="82" t="s">
        <v>31</v>
      </c>
      <c r="D852" s="82" t="s">
        <v>27</v>
      </c>
      <c r="E852" s="82" t="s">
        <v>25</v>
      </c>
      <c r="F852" s="83">
        <v>3</v>
      </c>
      <c r="G852" s="84">
        <v>1344.21</v>
      </c>
      <c r="H852" s="85">
        <v>0.08</v>
      </c>
      <c r="I852" s="86">
        <f t="shared" si="26"/>
        <v>3710.0196000000001</v>
      </c>
      <c r="J852" s="86">
        <v>2742.19</v>
      </c>
      <c r="K852" s="86">
        <f t="shared" si="27"/>
        <v>967.82960000000003</v>
      </c>
      <c r="L852" s="87" t="s">
        <v>67</v>
      </c>
      <c r="M852" s="87" t="s">
        <v>64</v>
      </c>
      <c r="N852" s="88" t="s">
        <v>74</v>
      </c>
    </row>
    <row r="853" spans="1:14">
      <c r="A853" s="81">
        <v>45920</v>
      </c>
      <c r="B853" s="82" t="s">
        <v>921</v>
      </c>
      <c r="C853" s="82" t="s">
        <v>36</v>
      </c>
      <c r="D853" s="82" t="s">
        <v>32</v>
      </c>
      <c r="E853" s="82" t="s">
        <v>42</v>
      </c>
      <c r="F853" s="83">
        <v>4</v>
      </c>
      <c r="G853" s="84">
        <v>805.11</v>
      </c>
      <c r="H853" s="85">
        <v>0.05</v>
      </c>
      <c r="I853" s="86">
        <f t="shared" si="26"/>
        <v>3059.4180000000001</v>
      </c>
      <c r="J853" s="86">
        <v>1964.47</v>
      </c>
      <c r="K853" s="86">
        <f t="shared" si="27"/>
        <v>1094.9480000000001</v>
      </c>
      <c r="L853" s="87" t="s">
        <v>67</v>
      </c>
      <c r="M853" s="87" t="s">
        <v>60</v>
      </c>
      <c r="N853" s="88" t="s">
        <v>65</v>
      </c>
    </row>
    <row r="854" spans="1:14">
      <c r="A854" s="81">
        <v>45920</v>
      </c>
      <c r="B854" s="82" t="s">
        <v>922</v>
      </c>
      <c r="C854" s="82" t="s">
        <v>36</v>
      </c>
      <c r="D854" s="82" t="s">
        <v>27</v>
      </c>
      <c r="E854" s="82" t="s">
        <v>30</v>
      </c>
      <c r="F854" s="83">
        <v>2</v>
      </c>
      <c r="G854" s="84">
        <v>661.2</v>
      </c>
      <c r="H854" s="85">
        <v>0.08</v>
      </c>
      <c r="I854" s="86">
        <f t="shared" si="26"/>
        <v>1216.6080000000002</v>
      </c>
      <c r="J854" s="86">
        <v>846.34</v>
      </c>
      <c r="K854" s="86">
        <f t="shared" si="27"/>
        <v>370.26800000000014</v>
      </c>
      <c r="L854" s="87" t="s">
        <v>63</v>
      </c>
      <c r="M854" s="87" t="s">
        <v>60</v>
      </c>
      <c r="N854" s="88" t="s">
        <v>61</v>
      </c>
    </row>
    <row r="855" spans="1:14">
      <c r="A855" s="81">
        <v>45920</v>
      </c>
      <c r="B855" s="82" t="s">
        <v>923</v>
      </c>
      <c r="C855" s="82" t="s">
        <v>40</v>
      </c>
      <c r="D855" s="82" t="s">
        <v>37</v>
      </c>
      <c r="E855" s="82" t="s">
        <v>48</v>
      </c>
      <c r="F855" s="83">
        <v>7</v>
      </c>
      <c r="G855" s="84">
        <v>73.33</v>
      </c>
      <c r="H855" s="85">
        <v>0.1</v>
      </c>
      <c r="I855" s="86">
        <f t="shared" si="26"/>
        <v>461.97899999999998</v>
      </c>
      <c r="J855" s="86">
        <v>215.59</v>
      </c>
      <c r="K855" s="86">
        <f t="shared" si="27"/>
        <v>246.38899999999998</v>
      </c>
      <c r="L855" s="87" t="s">
        <v>67</v>
      </c>
      <c r="M855" s="87" t="s">
        <v>64</v>
      </c>
      <c r="N855" s="88" t="s">
        <v>69</v>
      </c>
    </row>
    <row r="856" spans="1:14">
      <c r="A856" s="81">
        <v>45921</v>
      </c>
      <c r="B856" s="82" t="s">
        <v>924</v>
      </c>
      <c r="C856" s="82" t="s">
        <v>36</v>
      </c>
      <c r="D856" s="82" t="s">
        <v>32</v>
      </c>
      <c r="E856" s="82" t="s">
        <v>46</v>
      </c>
      <c r="F856" s="83">
        <v>9</v>
      </c>
      <c r="G856" s="84">
        <v>100.51</v>
      </c>
      <c r="H856" s="85">
        <v>0.1</v>
      </c>
      <c r="I856" s="86">
        <f t="shared" si="26"/>
        <v>814.13100000000009</v>
      </c>
      <c r="J856" s="86">
        <v>434.2</v>
      </c>
      <c r="K856" s="86">
        <f t="shared" si="27"/>
        <v>379.9310000000001</v>
      </c>
      <c r="L856" s="87" t="s">
        <v>67</v>
      </c>
      <c r="M856" s="87" t="s">
        <v>60</v>
      </c>
      <c r="N856" s="88" t="s">
        <v>74</v>
      </c>
    </row>
    <row r="857" spans="1:14">
      <c r="A857" s="81">
        <v>45922</v>
      </c>
      <c r="B857" s="82" t="s">
        <v>925</v>
      </c>
      <c r="C857" s="82" t="s">
        <v>40</v>
      </c>
      <c r="D857" s="82" t="s">
        <v>32</v>
      </c>
      <c r="E857" s="82" t="s">
        <v>42</v>
      </c>
      <c r="F857" s="83">
        <v>6</v>
      </c>
      <c r="G857" s="84">
        <v>847.65</v>
      </c>
      <c r="H857" s="85">
        <v>0.03</v>
      </c>
      <c r="I857" s="86">
        <f t="shared" si="26"/>
        <v>4933.3229999999994</v>
      </c>
      <c r="J857" s="86">
        <v>3102.4</v>
      </c>
      <c r="K857" s="86">
        <f t="shared" si="27"/>
        <v>1830.9229999999993</v>
      </c>
      <c r="L857" s="87" t="s">
        <v>63</v>
      </c>
      <c r="M857" s="87" t="s">
        <v>60</v>
      </c>
      <c r="N857" s="88" t="s">
        <v>78</v>
      </c>
    </row>
    <row r="858" spans="1:14">
      <c r="A858" s="81">
        <v>45923</v>
      </c>
      <c r="B858" s="82" t="s">
        <v>926</v>
      </c>
      <c r="C858" s="82" t="s">
        <v>31</v>
      </c>
      <c r="D858" s="82" t="s">
        <v>37</v>
      </c>
      <c r="E858" s="82" t="s">
        <v>47</v>
      </c>
      <c r="F858" s="83">
        <v>2</v>
      </c>
      <c r="G858" s="84">
        <v>136.63999999999999</v>
      </c>
      <c r="H858" s="85">
        <v>0</v>
      </c>
      <c r="I858" s="86">
        <f t="shared" si="26"/>
        <v>273.27999999999997</v>
      </c>
      <c r="J858" s="86">
        <v>125.71</v>
      </c>
      <c r="K858" s="86">
        <f t="shared" si="27"/>
        <v>147.57</v>
      </c>
      <c r="L858" s="87" t="s">
        <v>59</v>
      </c>
      <c r="M858" s="87" t="s">
        <v>64</v>
      </c>
      <c r="N858" s="88" t="s">
        <v>69</v>
      </c>
    </row>
    <row r="859" spans="1:14">
      <c r="A859" s="81">
        <v>45924</v>
      </c>
      <c r="B859" s="82" t="s">
        <v>927</v>
      </c>
      <c r="C859" s="82" t="s">
        <v>31</v>
      </c>
      <c r="D859" s="82" t="s">
        <v>32</v>
      </c>
      <c r="E859" s="82" t="s">
        <v>42</v>
      </c>
      <c r="F859" s="83">
        <v>6</v>
      </c>
      <c r="G859" s="84">
        <v>801.06</v>
      </c>
      <c r="H859" s="85">
        <v>0.03</v>
      </c>
      <c r="I859" s="86">
        <f t="shared" si="26"/>
        <v>4662.1691999999994</v>
      </c>
      <c r="J859" s="86">
        <v>2931.88</v>
      </c>
      <c r="K859" s="86">
        <f t="shared" si="27"/>
        <v>1730.2891999999993</v>
      </c>
      <c r="L859" s="87" t="s">
        <v>63</v>
      </c>
      <c r="M859" s="87" t="s">
        <v>68</v>
      </c>
      <c r="N859" s="88" t="s">
        <v>71</v>
      </c>
    </row>
    <row r="860" spans="1:14">
      <c r="A860" s="81">
        <v>45925</v>
      </c>
      <c r="B860" s="82" t="s">
        <v>928</v>
      </c>
      <c r="C860" s="82" t="s">
        <v>36</v>
      </c>
      <c r="D860" s="82" t="s">
        <v>27</v>
      </c>
      <c r="E860" s="82" t="s">
        <v>25</v>
      </c>
      <c r="F860" s="83">
        <v>10</v>
      </c>
      <c r="G860" s="84">
        <v>1293.31</v>
      </c>
      <c r="H860" s="85">
        <v>0.12</v>
      </c>
      <c r="I860" s="86">
        <f t="shared" si="26"/>
        <v>11381.127999999999</v>
      </c>
      <c r="J860" s="86">
        <v>8794.51</v>
      </c>
      <c r="K860" s="86">
        <f t="shared" si="27"/>
        <v>2586.6179999999986</v>
      </c>
      <c r="L860" s="87" t="s">
        <v>59</v>
      </c>
      <c r="M860" s="87" t="s">
        <v>68</v>
      </c>
      <c r="N860" s="88" t="s">
        <v>74</v>
      </c>
    </row>
    <row r="861" spans="1:14">
      <c r="A861" s="81">
        <v>45926</v>
      </c>
      <c r="B861" s="82" t="s">
        <v>929</v>
      </c>
      <c r="C861" s="82" t="s">
        <v>40</v>
      </c>
      <c r="D861" s="82" t="s">
        <v>37</v>
      </c>
      <c r="E861" s="82" t="s">
        <v>47</v>
      </c>
      <c r="F861" s="83">
        <v>4</v>
      </c>
      <c r="G861" s="84">
        <v>133.22999999999999</v>
      </c>
      <c r="H861" s="85">
        <v>0.1</v>
      </c>
      <c r="I861" s="86">
        <f t="shared" si="26"/>
        <v>479.62799999999999</v>
      </c>
      <c r="J861" s="86">
        <v>245.14</v>
      </c>
      <c r="K861" s="86">
        <f t="shared" si="27"/>
        <v>234.488</v>
      </c>
      <c r="L861" s="87" t="s">
        <v>59</v>
      </c>
      <c r="M861" s="87" t="s">
        <v>60</v>
      </c>
      <c r="N861" s="88" t="s">
        <v>65</v>
      </c>
    </row>
    <row r="862" spans="1:14">
      <c r="A862" s="81">
        <v>45926</v>
      </c>
      <c r="B862" s="82" t="s">
        <v>930</v>
      </c>
      <c r="C862" s="82" t="s">
        <v>36</v>
      </c>
      <c r="D862" s="82" t="s">
        <v>27</v>
      </c>
      <c r="E862" s="82" t="s">
        <v>30</v>
      </c>
      <c r="F862" s="83">
        <v>7</v>
      </c>
      <c r="G862" s="84">
        <v>705.64</v>
      </c>
      <c r="H862" s="85">
        <v>0.1</v>
      </c>
      <c r="I862" s="86">
        <f t="shared" si="26"/>
        <v>4445.5320000000002</v>
      </c>
      <c r="J862" s="86">
        <v>3161.27</v>
      </c>
      <c r="K862" s="86">
        <f t="shared" si="27"/>
        <v>1284.2620000000002</v>
      </c>
      <c r="L862" s="87" t="s">
        <v>59</v>
      </c>
      <c r="M862" s="87" t="s">
        <v>60</v>
      </c>
      <c r="N862" s="88" t="s">
        <v>65</v>
      </c>
    </row>
    <row r="863" spans="1:14">
      <c r="A863" s="81">
        <v>45926</v>
      </c>
      <c r="B863" s="82" t="s">
        <v>931</v>
      </c>
      <c r="C863" s="82" t="s">
        <v>36</v>
      </c>
      <c r="D863" s="82" t="s">
        <v>32</v>
      </c>
      <c r="E863" s="82" t="s">
        <v>39</v>
      </c>
      <c r="F863" s="83">
        <v>9</v>
      </c>
      <c r="G863" s="84">
        <v>472.35</v>
      </c>
      <c r="H863" s="85">
        <v>0.08</v>
      </c>
      <c r="I863" s="86">
        <f t="shared" si="26"/>
        <v>3911.0580000000004</v>
      </c>
      <c r="J863" s="86">
        <v>2423.16</v>
      </c>
      <c r="K863" s="86">
        <f t="shared" si="27"/>
        <v>1487.8980000000006</v>
      </c>
      <c r="L863" s="87" t="s">
        <v>59</v>
      </c>
      <c r="M863" s="87" t="s">
        <v>68</v>
      </c>
      <c r="N863" s="88" t="s">
        <v>74</v>
      </c>
    </row>
    <row r="864" spans="1:14">
      <c r="A864" s="81">
        <v>45927</v>
      </c>
      <c r="B864" s="82" t="s">
        <v>932</v>
      </c>
      <c r="C864" s="82" t="s">
        <v>36</v>
      </c>
      <c r="D864" s="82" t="s">
        <v>32</v>
      </c>
      <c r="E864" s="82" t="s">
        <v>39</v>
      </c>
      <c r="F864" s="83">
        <v>7</v>
      </c>
      <c r="G864" s="84">
        <v>455.62</v>
      </c>
      <c r="H864" s="85">
        <v>0.08</v>
      </c>
      <c r="I864" s="86">
        <f t="shared" si="26"/>
        <v>2934.1928000000003</v>
      </c>
      <c r="J864" s="86">
        <v>1817.92</v>
      </c>
      <c r="K864" s="86">
        <f t="shared" si="27"/>
        <v>1116.2728000000002</v>
      </c>
      <c r="L864" s="87" t="s">
        <v>67</v>
      </c>
      <c r="M864" s="87" t="s">
        <v>64</v>
      </c>
      <c r="N864" s="88" t="s">
        <v>65</v>
      </c>
    </row>
    <row r="865" spans="1:14">
      <c r="A865" s="81">
        <v>45929</v>
      </c>
      <c r="B865" s="82" t="s">
        <v>933</v>
      </c>
      <c r="C865" s="82" t="s">
        <v>40</v>
      </c>
      <c r="D865" s="82" t="s">
        <v>37</v>
      </c>
      <c r="E865" s="82" t="s">
        <v>47</v>
      </c>
      <c r="F865" s="83">
        <v>10</v>
      </c>
      <c r="G865" s="84">
        <v>137.69</v>
      </c>
      <c r="H865" s="85">
        <v>0.03</v>
      </c>
      <c r="I865" s="86">
        <f t="shared" si="26"/>
        <v>1335.5930000000001</v>
      </c>
      <c r="J865" s="86">
        <v>633.37</v>
      </c>
      <c r="K865" s="86">
        <f t="shared" si="27"/>
        <v>702.22300000000007</v>
      </c>
      <c r="L865" s="87" t="s">
        <v>67</v>
      </c>
      <c r="M865" s="87" t="s">
        <v>68</v>
      </c>
      <c r="N865" s="88" t="s">
        <v>69</v>
      </c>
    </row>
    <row r="866" spans="1:14">
      <c r="A866" s="81">
        <v>45930</v>
      </c>
      <c r="B866" s="82" t="s">
        <v>934</v>
      </c>
      <c r="C866" s="82" t="s">
        <v>31</v>
      </c>
      <c r="D866" s="82" t="s">
        <v>32</v>
      </c>
      <c r="E866" s="82" t="s">
        <v>42</v>
      </c>
      <c r="F866" s="83">
        <v>4</v>
      </c>
      <c r="G866" s="84">
        <v>828.69</v>
      </c>
      <c r="H866" s="85">
        <v>0.08</v>
      </c>
      <c r="I866" s="86">
        <f t="shared" si="26"/>
        <v>3049.5792000000001</v>
      </c>
      <c r="J866" s="86">
        <v>2022</v>
      </c>
      <c r="K866" s="86">
        <f t="shared" si="27"/>
        <v>1027.5792000000001</v>
      </c>
      <c r="L866" s="87" t="s">
        <v>59</v>
      </c>
      <c r="M866" s="87" t="s">
        <v>68</v>
      </c>
      <c r="N866" s="88" t="s">
        <v>61</v>
      </c>
    </row>
    <row r="867" spans="1:14">
      <c r="A867" s="81">
        <v>45930</v>
      </c>
      <c r="B867" s="82" t="s">
        <v>935</v>
      </c>
      <c r="C867" s="82" t="s">
        <v>36</v>
      </c>
      <c r="D867" s="82" t="s">
        <v>27</v>
      </c>
      <c r="E867" s="82" t="s">
        <v>35</v>
      </c>
      <c r="F867" s="83">
        <v>10</v>
      </c>
      <c r="G867" s="84">
        <v>401.27</v>
      </c>
      <c r="H867" s="85">
        <v>0.08</v>
      </c>
      <c r="I867" s="86">
        <f t="shared" si="26"/>
        <v>3691.6840000000002</v>
      </c>
      <c r="J867" s="86">
        <v>2407.62</v>
      </c>
      <c r="K867" s="86">
        <f t="shared" si="27"/>
        <v>1284.0640000000003</v>
      </c>
      <c r="L867" s="87" t="s">
        <v>59</v>
      </c>
      <c r="M867" s="87" t="s">
        <v>68</v>
      </c>
      <c r="N867" s="88" t="s">
        <v>71</v>
      </c>
    </row>
    <row r="868" spans="1:14">
      <c r="A868" s="81">
        <v>45933</v>
      </c>
      <c r="B868" s="82" t="s">
        <v>936</v>
      </c>
      <c r="C868" s="82" t="s">
        <v>36</v>
      </c>
      <c r="D868" s="82" t="s">
        <v>32</v>
      </c>
      <c r="E868" s="82" t="s">
        <v>39</v>
      </c>
      <c r="F868" s="83">
        <v>11</v>
      </c>
      <c r="G868" s="84">
        <v>493.39</v>
      </c>
      <c r="H868" s="85">
        <v>0.12</v>
      </c>
      <c r="I868" s="86">
        <f t="shared" si="26"/>
        <v>4776.0151999999998</v>
      </c>
      <c r="J868" s="86">
        <v>3093.56</v>
      </c>
      <c r="K868" s="86">
        <f t="shared" si="27"/>
        <v>1682.4551999999999</v>
      </c>
      <c r="L868" s="87" t="s">
        <v>63</v>
      </c>
      <c r="M868" s="87" t="s">
        <v>64</v>
      </c>
      <c r="N868" s="88" t="s">
        <v>69</v>
      </c>
    </row>
    <row r="869" spans="1:14">
      <c r="A869" s="81">
        <v>45933</v>
      </c>
      <c r="B869" s="82" t="s">
        <v>937</v>
      </c>
      <c r="C869" s="82" t="s">
        <v>36</v>
      </c>
      <c r="D869" s="82" t="s">
        <v>37</v>
      </c>
      <c r="E869" s="82" t="s">
        <v>48</v>
      </c>
      <c r="F869" s="83">
        <v>4</v>
      </c>
      <c r="G869" s="84">
        <v>77.89</v>
      </c>
      <c r="H869" s="85">
        <v>0.03</v>
      </c>
      <c r="I869" s="86">
        <f t="shared" si="26"/>
        <v>302.21319999999997</v>
      </c>
      <c r="J869" s="86">
        <v>130.86000000000001</v>
      </c>
      <c r="K869" s="86">
        <f t="shared" si="27"/>
        <v>171.35319999999996</v>
      </c>
      <c r="L869" s="87" t="s">
        <v>59</v>
      </c>
      <c r="M869" s="87" t="s">
        <v>60</v>
      </c>
      <c r="N869" s="88" t="s">
        <v>71</v>
      </c>
    </row>
    <row r="870" spans="1:14">
      <c r="A870" s="81">
        <v>45934</v>
      </c>
      <c r="B870" s="82" t="s">
        <v>938</v>
      </c>
      <c r="C870" s="82" t="s">
        <v>36</v>
      </c>
      <c r="D870" s="82" t="s">
        <v>27</v>
      </c>
      <c r="E870" s="82" t="s">
        <v>30</v>
      </c>
      <c r="F870" s="83">
        <v>6</v>
      </c>
      <c r="G870" s="84">
        <v>658.03</v>
      </c>
      <c r="H870" s="85">
        <v>0</v>
      </c>
      <c r="I870" s="86">
        <f t="shared" si="26"/>
        <v>3948.18</v>
      </c>
      <c r="J870" s="86">
        <v>2526.84</v>
      </c>
      <c r="K870" s="86">
        <f t="shared" si="27"/>
        <v>1421.3399999999997</v>
      </c>
      <c r="L870" s="87" t="s">
        <v>67</v>
      </c>
      <c r="M870" s="87" t="s">
        <v>60</v>
      </c>
      <c r="N870" s="88" t="s">
        <v>65</v>
      </c>
    </row>
    <row r="871" spans="1:14">
      <c r="A871" s="81">
        <v>45935</v>
      </c>
      <c r="B871" s="82" t="s">
        <v>939</v>
      </c>
      <c r="C871" s="82" t="s">
        <v>26</v>
      </c>
      <c r="D871" s="82" t="s">
        <v>37</v>
      </c>
      <c r="E871" s="82" t="s">
        <v>47</v>
      </c>
      <c r="F871" s="83">
        <v>5</v>
      </c>
      <c r="G871" s="84">
        <v>127.13</v>
      </c>
      <c r="H871" s="85">
        <v>0.05</v>
      </c>
      <c r="I871" s="86">
        <f t="shared" si="26"/>
        <v>603.86749999999995</v>
      </c>
      <c r="J871" s="86">
        <v>292.39999999999998</v>
      </c>
      <c r="K871" s="86">
        <f t="shared" si="27"/>
        <v>311.46749999999997</v>
      </c>
      <c r="L871" s="87" t="s">
        <v>67</v>
      </c>
      <c r="M871" s="87" t="s">
        <v>60</v>
      </c>
      <c r="N871" s="88" t="s">
        <v>78</v>
      </c>
    </row>
    <row r="872" spans="1:14">
      <c r="A872" s="81">
        <v>45935</v>
      </c>
      <c r="B872" s="82" t="s">
        <v>940</v>
      </c>
      <c r="C872" s="82" t="s">
        <v>40</v>
      </c>
      <c r="D872" s="82" t="s">
        <v>27</v>
      </c>
      <c r="E872" s="82" t="s">
        <v>30</v>
      </c>
      <c r="F872" s="83">
        <v>8</v>
      </c>
      <c r="G872" s="84">
        <v>661.26</v>
      </c>
      <c r="H872" s="85">
        <v>0.05</v>
      </c>
      <c r="I872" s="86">
        <f t="shared" si="26"/>
        <v>5025.576</v>
      </c>
      <c r="J872" s="86">
        <v>3385.65</v>
      </c>
      <c r="K872" s="86">
        <f t="shared" si="27"/>
        <v>1639.9259999999999</v>
      </c>
      <c r="L872" s="87" t="s">
        <v>67</v>
      </c>
      <c r="M872" s="87" t="s">
        <v>60</v>
      </c>
      <c r="N872" s="88" t="s">
        <v>61</v>
      </c>
    </row>
    <row r="873" spans="1:14">
      <c r="A873" s="81">
        <v>45937</v>
      </c>
      <c r="B873" s="82" t="s">
        <v>941</v>
      </c>
      <c r="C873" s="82" t="s">
        <v>26</v>
      </c>
      <c r="D873" s="82" t="s">
        <v>32</v>
      </c>
      <c r="E873" s="82" t="s">
        <v>42</v>
      </c>
      <c r="F873" s="83">
        <v>8</v>
      </c>
      <c r="G873" s="84">
        <v>859.23</v>
      </c>
      <c r="H873" s="85">
        <v>0.12</v>
      </c>
      <c r="I873" s="86">
        <f t="shared" si="26"/>
        <v>6048.9791999999998</v>
      </c>
      <c r="J873" s="86">
        <v>4193.04</v>
      </c>
      <c r="K873" s="86">
        <f t="shared" si="27"/>
        <v>1855.9391999999998</v>
      </c>
      <c r="L873" s="87" t="s">
        <v>67</v>
      </c>
      <c r="M873" s="87" t="s">
        <v>68</v>
      </c>
      <c r="N873" s="88" t="s">
        <v>78</v>
      </c>
    </row>
    <row r="874" spans="1:14">
      <c r="A874" s="81">
        <v>45938</v>
      </c>
      <c r="B874" s="82" t="s">
        <v>942</v>
      </c>
      <c r="C874" s="82" t="s">
        <v>26</v>
      </c>
      <c r="D874" s="82" t="s">
        <v>32</v>
      </c>
      <c r="E874" s="82" t="s">
        <v>46</v>
      </c>
      <c r="F874" s="83">
        <v>4</v>
      </c>
      <c r="G874" s="84">
        <v>100.39</v>
      </c>
      <c r="H874" s="85">
        <v>0.12</v>
      </c>
      <c r="I874" s="86">
        <f t="shared" si="26"/>
        <v>353.37279999999998</v>
      </c>
      <c r="J874" s="86">
        <v>192.75</v>
      </c>
      <c r="K874" s="86">
        <f t="shared" si="27"/>
        <v>160.62279999999998</v>
      </c>
      <c r="L874" s="87" t="s">
        <v>67</v>
      </c>
      <c r="M874" s="87" t="s">
        <v>68</v>
      </c>
      <c r="N874" s="88" t="s">
        <v>65</v>
      </c>
    </row>
    <row r="875" spans="1:14">
      <c r="A875" s="81">
        <v>45941</v>
      </c>
      <c r="B875" s="82" t="s">
        <v>943</v>
      </c>
      <c r="C875" s="82" t="s">
        <v>26</v>
      </c>
      <c r="D875" s="82" t="s">
        <v>32</v>
      </c>
      <c r="E875" s="82" t="s">
        <v>42</v>
      </c>
      <c r="F875" s="83">
        <v>8</v>
      </c>
      <c r="G875" s="84">
        <v>803.15</v>
      </c>
      <c r="H875" s="85">
        <v>0.05</v>
      </c>
      <c r="I875" s="86">
        <f t="shared" si="26"/>
        <v>6103.94</v>
      </c>
      <c r="J875" s="86">
        <v>3919.37</v>
      </c>
      <c r="K875" s="86">
        <f t="shared" si="27"/>
        <v>2184.5699999999997</v>
      </c>
      <c r="L875" s="87" t="s">
        <v>59</v>
      </c>
      <c r="M875" s="87" t="s">
        <v>68</v>
      </c>
      <c r="N875" s="88" t="s">
        <v>74</v>
      </c>
    </row>
    <row r="876" spans="1:14">
      <c r="A876" s="81">
        <v>45941</v>
      </c>
      <c r="B876" s="82" t="s">
        <v>944</v>
      </c>
      <c r="C876" s="82" t="s">
        <v>36</v>
      </c>
      <c r="D876" s="82" t="s">
        <v>37</v>
      </c>
      <c r="E876" s="82" t="s">
        <v>48</v>
      </c>
      <c r="F876" s="83">
        <v>8</v>
      </c>
      <c r="G876" s="84">
        <v>71.53</v>
      </c>
      <c r="H876" s="85">
        <v>0.1</v>
      </c>
      <c r="I876" s="86">
        <f t="shared" si="26"/>
        <v>515.01600000000008</v>
      </c>
      <c r="J876" s="86">
        <v>240.34</v>
      </c>
      <c r="K876" s="86">
        <f t="shared" si="27"/>
        <v>274.67600000000004</v>
      </c>
      <c r="L876" s="87" t="s">
        <v>63</v>
      </c>
      <c r="M876" s="87" t="s">
        <v>68</v>
      </c>
      <c r="N876" s="88" t="s">
        <v>74</v>
      </c>
    </row>
    <row r="877" spans="1:14">
      <c r="A877" s="81">
        <v>45942</v>
      </c>
      <c r="B877" s="82" t="s">
        <v>945</v>
      </c>
      <c r="C877" s="82" t="s">
        <v>26</v>
      </c>
      <c r="D877" s="82" t="s">
        <v>32</v>
      </c>
      <c r="E877" s="82" t="s">
        <v>39</v>
      </c>
      <c r="F877" s="83">
        <v>5</v>
      </c>
      <c r="G877" s="84">
        <v>471.84</v>
      </c>
      <c r="H877" s="85">
        <v>0.1</v>
      </c>
      <c r="I877" s="86">
        <f t="shared" si="26"/>
        <v>2123.2799999999997</v>
      </c>
      <c r="J877" s="86">
        <v>1344.74</v>
      </c>
      <c r="K877" s="86">
        <f t="shared" si="27"/>
        <v>778.53999999999974</v>
      </c>
      <c r="L877" s="87" t="s">
        <v>59</v>
      </c>
      <c r="M877" s="87" t="s">
        <v>60</v>
      </c>
      <c r="N877" s="88" t="s">
        <v>74</v>
      </c>
    </row>
    <row r="878" spans="1:14">
      <c r="A878" s="81">
        <v>45943</v>
      </c>
      <c r="B878" s="82" t="s">
        <v>946</v>
      </c>
      <c r="C878" s="82" t="s">
        <v>31</v>
      </c>
      <c r="D878" s="82" t="s">
        <v>32</v>
      </c>
      <c r="E878" s="82" t="s">
        <v>42</v>
      </c>
      <c r="F878" s="83">
        <v>6</v>
      </c>
      <c r="G878" s="84">
        <v>840.13</v>
      </c>
      <c r="H878" s="85">
        <v>0.12</v>
      </c>
      <c r="I878" s="86">
        <f t="shared" si="26"/>
        <v>4435.8863999999994</v>
      </c>
      <c r="J878" s="86">
        <v>3074.88</v>
      </c>
      <c r="K878" s="86">
        <f t="shared" si="27"/>
        <v>1361.0063999999993</v>
      </c>
      <c r="L878" s="87" t="s">
        <v>67</v>
      </c>
      <c r="M878" s="87" t="s">
        <v>68</v>
      </c>
      <c r="N878" s="88" t="s">
        <v>78</v>
      </c>
    </row>
    <row r="879" spans="1:14">
      <c r="A879" s="81">
        <v>45944</v>
      </c>
      <c r="B879" s="82" t="s">
        <v>947</v>
      </c>
      <c r="C879" s="82" t="s">
        <v>31</v>
      </c>
      <c r="D879" s="82" t="s">
        <v>27</v>
      </c>
      <c r="E879" s="82" t="s">
        <v>25</v>
      </c>
      <c r="F879" s="83">
        <v>4</v>
      </c>
      <c r="G879" s="84">
        <v>1296.51</v>
      </c>
      <c r="H879" s="85">
        <v>0</v>
      </c>
      <c r="I879" s="86">
        <f t="shared" si="26"/>
        <v>5186.04</v>
      </c>
      <c r="J879" s="86">
        <v>3526.51</v>
      </c>
      <c r="K879" s="86">
        <f t="shared" si="27"/>
        <v>1659.5299999999997</v>
      </c>
      <c r="L879" s="87" t="s">
        <v>59</v>
      </c>
      <c r="M879" s="87" t="s">
        <v>68</v>
      </c>
      <c r="N879" s="88" t="s">
        <v>65</v>
      </c>
    </row>
    <row r="880" spans="1:14">
      <c r="A880" s="81">
        <v>45945</v>
      </c>
      <c r="B880" s="82" t="s">
        <v>948</v>
      </c>
      <c r="C880" s="82" t="s">
        <v>26</v>
      </c>
      <c r="D880" s="82" t="s">
        <v>32</v>
      </c>
      <c r="E880" s="82" t="s">
        <v>46</v>
      </c>
      <c r="F880" s="83">
        <v>9</v>
      </c>
      <c r="G880" s="84">
        <v>103.86</v>
      </c>
      <c r="H880" s="85">
        <v>0.08</v>
      </c>
      <c r="I880" s="86">
        <f t="shared" si="26"/>
        <v>859.96080000000006</v>
      </c>
      <c r="J880" s="86">
        <v>448.68</v>
      </c>
      <c r="K880" s="86">
        <f t="shared" si="27"/>
        <v>411.28080000000006</v>
      </c>
      <c r="L880" s="87" t="s">
        <v>67</v>
      </c>
      <c r="M880" s="87" t="s">
        <v>68</v>
      </c>
      <c r="N880" s="88" t="s">
        <v>61</v>
      </c>
    </row>
    <row r="881" spans="1:14">
      <c r="A881" s="81">
        <v>45945</v>
      </c>
      <c r="B881" s="82" t="s">
        <v>949</v>
      </c>
      <c r="C881" s="82" t="s">
        <v>40</v>
      </c>
      <c r="D881" s="82" t="s">
        <v>32</v>
      </c>
      <c r="E881" s="82" t="s">
        <v>46</v>
      </c>
      <c r="F881" s="83">
        <v>11</v>
      </c>
      <c r="G881" s="84">
        <v>99.7</v>
      </c>
      <c r="H881" s="85">
        <v>0.05</v>
      </c>
      <c r="I881" s="86">
        <f t="shared" si="26"/>
        <v>1041.865</v>
      </c>
      <c r="J881" s="86">
        <v>526.41999999999996</v>
      </c>
      <c r="K881" s="86">
        <f t="shared" si="27"/>
        <v>515.44500000000005</v>
      </c>
      <c r="L881" s="87" t="s">
        <v>59</v>
      </c>
      <c r="M881" s="87" t="s">
        <v>68</v>
      </c>
      <c r="N881" s="88" t="s">
        <v>65</v>
      </c>
    </row>
    <row r="882" spans="1:14">
      <c r="A882" s="81">
        <v>45945</v>
      </c>
      <c r="B882" s="82" t="s">
        <v>950</v>
      </c>
      <c r="C882" s="82" t="s">
        <v>26</v>
      </c>
      <c r="D882" s="82" t="s">
        <v>32</v>
      </c>
      <c r="E882" s="82" t="s">
        <v>42</v>
      </c>
      <c r="F882" s="83">
        <v>8</v>
      </c>
      <c r="G882" s="84">
        <v>854.24</v>
      </c>
      <c r="H882" s="85">
        <v>0.05</v>
      </c>
      <c r="I882" s="86">
        <f t="shared" si="26"/>
        <v>6492.2240000000002</v>
      </c>
      <c r="J882" s="86">
        <v>4168.6899999999996</v>
      </c>
      <c r="K882" s="86">
        <f t="shared" si="27"/>
        <v>2323.5340000000006</v>
      </c>
      <c r="L882" s="87" t="s">
        <v>67</v>
      </c>
      <c r="M882" s="87" t="s">
        <v>60</v>
      </c>
      <c r="N882" s="88" t="s">
        <v>71</v>
      </c>
    </row>
    <row r="883" spans="1:14">
      <c r="A883" s="81">
        <v>45946</v>
      </c>
      <c r="B883" s="82" t="s">
        <v>951</v>
      </c>
      <c r="C883" s="82" t="s">
        <v>36</v>
      </c>
      <c r="D883" s="82" t="s">
        <v>27</v>
      </c>
      <c r="E883" s="82" t="s">
        <v>30</v>
      </c>
      <c r="F883" s="83">
        <v>12</v>
      </c>
      <c r="G883" s="84">
        <v>687.7</v>
      </c>
      <c r="H883" s="85">
        <v>0.03</v>
      </c>
      <c r="I883" s="86">
        <f t="shared" si="26"/>
        <v>8004.8280000000013</v>
      </c>
      <c r="J883" s="86">
        <v>5281.54</v>
      </c>
      <c r="K883" s="86">
        <f t="shared" si="27"/>
        <v>2723.2880000000014</v>
      </c>
      <c r="L883" s="87" t="s">
        <v>63</v>
      </c>
      <c r="M883" s="87" t="s">
        <v>68</v>
      </c>
      <c r="N883" s="88" t="s">
        <v>69</v>
      </c>
    </row>
    <row r="884" spans="1:14">
      <c r="A884" s="81">
        <v>45949</v>
      </c>
      <c r="B884" s="82" t="s">
        <v>952</v>
      </c>
      <c r="C884" s="82" t="s">
        <v>40</v>
      </c>
      <c r="D884" s="82" t="s">
        <v>32</v>
      </c>
      <c r="E884" s="82" t="s">
        <v>39</v>
      </c>
      <c r="F884" s="83">
        <v>5</v>
      </c>
      <c r="G884" s="84">
        <v>452.38</v>
      </c>
      <c r="H884" s="85">
        <v>0</v>
      </c>
      <c r="I884" s="86">
        <f t="shared" si="26"/>
        <v>2261.9</v>
      </c>
      <c r="J884" s="86">
        <v>1289.28</v>
      </c>
      <c r="K884" s="86">
        <f t="shared" si="27"/>
        <v>972.62000000000012</v>
      </c>
      <c r="L884" s="87" t="s">
        <v>63</v>
      </c>
      <c r="M884" s="87" t="s">
        <v>68</v>
      </c>
      <c r="N884" s="88" t="s">
        <v>69</v>
      </c>
    </row>
    <row r="885" spans="1:14">
      <c r="A885" s="81">
        <v>45949</v>
      </c>
      <c r="B885" s="82" t="s">
        <v>953</v>
      </c>
      <c r="C885" s="82" t="s">
        <v>31</v>
      </c>
      <c r="D885" s="82" t="s">
        <v>37</v>
      </c>
      <c r="E885" s="82" t="s">
        <v>48</v>
      </c>
      <c r="F885" s="83">
        <v>13</v>
      </c>
      <c r="G885" s="84">
        <v>77.819999999999993</v>
      </c>
      <c r="H885" s="85">
        <v>0.08</v>
      </c>
      <c r="I885" s="86">
        <f t="shared" si="26"/>
        <v>930.72719999999993</v>
      </c>
      <c r="J885" s="86">
        <v>424.9</v>
      </c>
      <c r="K885" s="86">
        <f t="shared" si="27"/>
        <v>505.82719999999995</v>
      </c>
      <c r="L885" s="87" t="s">
        <v>59</v>
      </c>
      <c r="M885" s="87" t="s">
        <v>68</v>
      </c>
      <c r="N885" s="88" t="s">
        <v>78</v>
      </c>
    </row>
    <row r="886" spans="1:14">
      <c r="A886" s="81">
        <v>45951</v>
      </c>
      <c r="B886" s="82" t="s">
        <v>954</v>
      </c>
      <c r="C886" s="82" t="s">
        <v>26</v>
      </c>
      <c r="D886" s="82" t="s">
        <v>32</v>
      </c>
      <c r="E886" s="82" t="s">
        <v>46</v>
      </c>
      <c r="F886" s="83">
        <v>7</v>
      </c>
      <c r="G886" s="84">
        <v>100.12</v>
      </c>
      <c r="H886" s="85">
        <v>0.05</v>
      </c>
      <c r="I886" s="86">
        <f t="shared" si="26"/>
        <v>665.798</v>
      </c>
      <c r="J886" s="86">
        <v>336.4</v>
      </c>
      <c r="K886" s="86">
        <f t="shared" si="27"/>
        <v>329.39800000000002</v>
      </c>
      <c r="L886" s="87" t="s">
        <v>63</v>
      </c>
      <c r="M886" s="87" t="s">
        <v>64</v>
      </c>
      <c r="N886" s="88" t="s">
        <v>74</v>
      </c>
    </row>
    <row r="887" spans="1:14">
      <c r="A887" s="81">
        <v>45951</v>
      </c>
      <c r="B887" s="82" t="s">
        <v>955</v>
      </c>
      <c r="C887" s="82" t="s">
        <v>26</v>
      </c>
      <c r="D887" s="82" t="s">
        <v>27</v>
      </c>
      <c r="E887" s="82" t="s">
        <v>25</v>
      </c>
      <c r="F887" s="83">
        <v>6</v>
      </c>
      <c r="G887" s="84">
        <v>1284.67</v>
      </c>
      <c r="H887" s="85">
        <v>0</v>
      </c>
      <c r="I887" s="86">
        <f t="shared" si="26"/>
        <v>7708.02</v>
      </c>
      <c r="J887" s="86">
        <v>5241.45</v>
      </c>
      <c r="K887" s="86">
        <f t="shared" si="27"/>
        <v>2466.5700000000006</v>
      </c>
      <c r="L887" s="87" t="s">
        <v>63</v>
      </c>
      <c r="M887" s="87" t="s">
        <v>64</v>
      </c>
      <c r="N887" s="88" t="s">
        <v>74</v>
      </c>
    </row>
    <row r="888" spans="1:14">
      <c r="A888" s="81">
        <v>45952</v>
      </c>
      <c r="B888" s="82" t="s">
        <v>956</v>
      </c>
      <c r="C888" s="82" t="s">
        <v>26</v>
      </c>
      <c r="D888" s="82" t="s">
        <v>32</v>
      </c>
      <c r="E888" s="82" t="s">
        <v>39</v>
      </c>
      <c r="F888" s="83">
        <v>9</v>
      </c>
      <c r="G888" s="84">
        <v>493.26</v>
      </c>
      <c r="H888" s="85">
        <v>0.12</v>
      </c>
      <c r="I888" s="86">
        <f t="shared" si="26"/>
        <v>3906.6192000000001</v>
      </c>
      <c r="J888" s="86">
        <v>2530.42</v>
      </c>
      <c r="K888" s="86">
        <f t="shared" si="27"/>
        <v>1376.1992</v>
      </c>
      <c r="L888" s="87" t="s">
        <v>59</v>
      </c>
      <c r="M888" s="87" t="s">
        <v>68</v>
      </c>
      <c r="N888" s="88" t="s">
        <v>71</v>
      </c>
    </row>
    <row r="889" spans="1:14">
      <c r="A889" s="81">
        <v>45954</v>
      </c>
      <c r="B889" s="82" t="s">
        <v>957</v>
      </c>
      <c r="C889" s="82" t="s">
        <v>31</v>
      </c>
      <c r="D889" s="82" t="s">
        <v>32</v>
      </c>
      <c r="E889" s="82" t="s">
        <v>39</v>
      </c>
      <c r="F889" s="83">
        <v>8</v>
      </c>
      <c r="G889" s="84">
        <v>458.28</v>
      </c>
      <c r="H889" s="85">
        <v>0.08</v>
      </c>
      <c r="I889" s="86">
        <f t="shared" si="26"/>
        <v>3372.9407999999999</v>
      </c>
      <c r="J889" s="86">
        <v>2089.7600000000002</v>
      </c>
      <c r="K889" s="86">
        <f t="shared" si="27"/>
        <v>1283.1807999999996</v>
      </c>
      <c r="L889" s="87" t="s">
        <v>63</v>
      </c>
      <c r="M889" s="87" t="s">
        <v>68</v>
      </c>
      <c r="N889" s="88" t="s">
        <v>65</v>
      </c>
    </row>
    <row r="890" spans="1:14">
      <c r="A890" s="81">
        <v>45956</v>
      </c>
      <c r="B890" s="82" t="s">
        <v>958</v>
      </c>
      <c r="C890" s="82" t="s">
        <v>40</v>
      </c>
      <c r="D890" s="82" t="s">
        <v>32</v>
      </c>
      <c r="E890" s="82" t="s">
        <v>42</v>
      </c>
      <c r="F890" s="83">
        <v>8</v>
      </c>
      <c r="G890" s="84">
        <v>856.34</v>
      </c>
      <c r="H890" s="85">
        <v>0.12</v>
      </c>
      <c r="I890" s="86">
        <f t="shared" si="26"/>
        <v>6028.6336000000001</v>
      </c>
      <c r="J890" s="86">
        <v>4178.9399999999996</v>
      </c>
      <c r="K890" s="86">
        <f t="shared" si="27"/>
        <v>1849.6936000000005</v>
      </c>
      <c r="L890" s="87" t="s">
        <v>63</v>
      </c>
      <c r="M890" s="87" t="s">
        <v>60</v>
      </c>
      <c r="N890" s="88" t="s">
        <v>71</v>
      </c>
    </row>
    <row r="891" spans="1:14">
      <c r="A891" s="81">
        <v>45956</v>
      </c>
      <c r="B891" s="82" t="s">
        <v>959</v>
      </c>
      <c r="C891" s="82" t="s">
        <v>36</v>
      </c>
      <c r="D891" s="82" t="s">
        <v>32</v>
      </c>
      <c r="E891" s="82" t="s">
        <v>46</v>
      </c>
      <c r="F891" s="83">
        <v>9</v>
      </c>
      <c r="G891" s="84">
        <v>106.5</v>
      </c>
      <c r="H891" s="85">
        <v>0.12</v>
      </c>
      <c r="I891" s="86">
        <f t="shared" si="26"/>
        <v>843.48</v>
      </c>
      <c r="J891" s="86">
        <v>460.08</v>
      </c>
      <c r="K891" s="86">
        <f t="shared" si="27"/>
        <v>383.40000000000003</v>
      </c>
      <c r="L891" s="87" t="s">
        <v>63</v>
      </c>
      <c r="M891" s="87" t="s">
        <v>64</v>
      </c>
      <c r="N891" s="88" t="s">
        <v>78</v>
      </c>
    </row>
    <row r="892" spans="1:14">
      <c r="A892" s="81">
        <v>45957</v>
      </c>
      <c r="B892" s="82" t="s">
        <v>960</v>
      </c>
      <c r="C892" s="82" t="s">
        <v>31</v>
      </c>
      <c r="D892" s="82" t="s">
        <v>27</v>
      </c>
      <c r="E892" s="82" t="s">
        <v>30</v>
      </c>
      <c r="F892" s="83">
        <v>4</v>
      </c>
      <c r="G892" s="84">
        <v>686.04</v>
      </c>
      <c r="H892" s="85">
        <v>0.12</v>
      </c>
      <c r="I892" s="86">
        <f t="shared" si="26"/>
        <v>2414.8607999999999</v>
      </c>
      <c r="J892" s="86">
        <v>1756.26</v>
      </c>
      <c r="K892" s="86">
        <f t="shared" si="27"/>
        <v>658.60079999999994</v>
      </c>
      <c r="L892" s="87" t="s">
        <v>63</v>
      </c>
      <c r="M892" s="87" t="s">
        <v>64</v>
      </c>
      <c r="N892" s="88" t="s">
        <v>61</v>
      </c>
    </row>
    <row r="893" spans="1:14">
      <c r="A893" s="81">
        <v>45959</v>
      </c>
      <c r="B893" s="82" t="s">
        <v>961</v>
      </c>
      <c r="C893" s="82" t="s">
        <v>26</v>
      </c>
      <c r="D893" s="82" t="s">
        <v>27</v>
      </c>
      <c r="E893" s="82" t="s">
        <v>30</v>
      </c>
      <c r="F893" s="83">
        <v>15</v>
      </c>
      <c r="G893" s="84">
        <v>670.23</v>
      </c>
      <c r="H893" s="85">
        <v>0.05</v>
      </c>
      <c r="I893" s="86">
        <f t="shared" si="26"/>
        <v>9550.7775000000001</v>
      </c>
      <c r="J893" s="86">
        <v>6434.21</v>
      </c>
      <c r="K893" s="86">
        <f t="shared" si="27"/>
        <v>3116.5675000000001</v>
      </c>
      <c r="L893" s="87" t="s">
        <v>67</v>
      </c>
      <c r="M893" s="87" t="s">
        <v>68</v>
      </c>
      <c r="N893" s="88" t="s">
        <v>69</v>
      </c>
    </row>
    <row r="894" spans="1:14">
      <c r="A894" s="81">
        <v>45960</v>
      </c>
      <c r="B894" s="82" t="s">
        <v>962</v>
      </c>
      <c r="C894" s="82" t="s">
        <v>36</v>
      </c>
      <c r="D894" s="82" t="s">
        <v>27</v>
      </c>
      <c r="E894" s="82" t="s">
        <v>35</v>
      </c>
      <c r="F894" s="83">
        <v>9</v>
      </c>
      <c r="G894" s="84">
        <v>400.48</v>
      </c>
      <c r="H894" s="85">
        <v>0.12</v>
      </c>
      <c r="I894" s="86">
        <f t="shared" si="26"/>
        <v>3171.8016000000002</v>
      </c>
      <c r="J894" s="86">
        <v>2162.59</v>
      </c>
      <c r="K894" s="86">
        <f t="shared" si="27"/>
        <v>1009.2116000000001</v>
      </c>
      <c r="L894" s="87" t="s">
        <v>63</v>
      </c>
      <c r="M894" s="87" t="s">
        <v>60</v>
      </c>
      <c r="N894" s="88" t="s">
        <v>78</v>
      </c>
    </row>
    <row r="895" spans="1:14">
      <c r="A895" s="81">
        <v>45960</v>
      </c>
      <c r="B895" s="82" t="s">
        <v>963</v>
      </c>
      <c r="C895" s="82" t="s">
        <v>36</v>
      </c>
      <c r="D895" s="82" t="s">
        <v>37</v>
      </c>
      <c r="E895" s="82" t="s">
        <v>47</v>
      </c>
      <c r="F895" s="83">
        <v>12</v>
      </c>
      <c r="G895" s="84">
        <v>129.04</v>
      </c>
      <c r="H895" s="85">
        <v>0.05</v>
      </c>
      <c r="I895" s="86">
        <f t="shared" si="26"/>
        <v>1471.056</v>
      </c>
      <c r="J895" s="86">
        <v>712.3</v>
      </c>
      <c r="K895" s="86">
        <f t="shared" si="27"/>
        <v>758.75600000000009</v>
      </c>
      <c r="L895" s="87" t="s">
        <v>59</v>
      </c>
      <c r="M895" s="87" t="s">
        <v>68</v>
      </c>
      <c r="N895" s="88" t="s">
        <v>65</v>
      </c>
    </row>
    <row r="896" spans="1:14">
      <c r="A896" s="81">
        <v>45961</v>
      </c>
      <c r="B896" s="82" t="s">
        <v>964</v>
      </c>
      <c r="C896" s="82" t="s">
        <v>36</v>
      </c>
      <c r="D896" s="82" t="s">
        <v>37</v>
      </c>
      <c r="E896" s="82" t="s">
        <v>48</v>
      </c>
      <c r="F896" s="83">
        <v>1</v>
      </c>
      <c r="G896" s="84">
        <v>72.39</v>
      </c>
      <c r="H896" s="85">
        <v>0.03</v>
      </c>
      <c r="I896" s="86">
        <f t="shared" si="26"/>
        <v>70.218299999999999</v>
      </c>
      <c r="J896" s="86">
        <v>30.4</v>
      </c>
      <c r="K896" s="86">
        <f t="shared" si="27"/>
        <v>39.818300000000001</v>
      </c>
      <c r="L896" s="87" t="s">
        <v>59</v>
      </c>
      <c r="M896" s="87" t="s">
        <v>64</v>
      </c>
      <c r="N896" s="88" t="s">
        <v>78</v>
      </c>
    </row>
    <row r="897" spans="1:14">
      <c r="A897" s="81">
        <v>45962</v>
      </c>
      <c r="B897" s="82" t="s">
        <v>965</v>
      </c>
      <c r="C897" s="82" t="s">
        <v>31</v>
      </c>
      <c r="D897" s="82" t="s">
        <v>27</v>
      </c>
      <c r="E897" s="82" t="s">
        <v>30</v>
      </c>
      <c r="F897" s="83">
        <v>3</v>
      </c>
      <c r="G897" s="84">
        <v>650.23</v>
      </c>
      <c r="H897" s="85">
        <v>0.05</v>
      </c>
      <c r="I897" s="86">
        <f t="shared" si="26"/>
        <v>1853.1555000000001</v>
      </c>
      <c r="J897" s="86">
        <v>1248.44</v>
      </c>
      <c r="K897" s="86">
        <f t="shared" si="27"/>
        <v>604.71550000000002</v>
      </c>
      <c r="L897" s="87" t="s">
        <v>59</v>
      </c>
      <c r="M897" s="87" t="s">
        <v>68</v>
      </c>
      <c r="N897" s="88" t="s">
        <v>65</v>
      </c>
    </row>
    <row r="898" spans="1:14">
      <c r="A898" s="81">
        <v>45962</v>
      </c>
      <c r="B898" s="82" t="s">
        <v>966</v>
      </c>
      <c r="C898" s="82" t="s">
        <v>40</v>
      </c>
      <c r="D898" s="82" t="s">
        <v>27</v>
      </c>
      <c r="E898" s="82" t="s">
        <v>25</v>
      </c>
      <c r="F898" s="83">
        <v>6</v>
      </c>
      <c r="G898" s="84">
        <v>1289.96</v>
      </c>
      <c r="H898" s="85">
        <v>0.05</v>
      </c>
      <c r="I898" s="86">
        <f t="shared" ref="I898:I961" si="28">F898*G898*(1-H898)</f>
        <v>7352.7719999999999</v>
      </c>
      <c r="J898" s="86">
        <v>5263.04</v>
      </c>
      <c r="K898" s="86">
        <f t="shared" ref="K898:K961" si="29">I898-J898</f>
        <v>2089.732</v>
      </c>
      <c r="L898" s="87" t="s">
        <v>67</v>
      </c>
      <c r="M898" s="87" t="s">
        <v>68</v>
      </c>
      <c r="N898" s="88" t="s">
        <v>61</v>
      </c>
    </row>
    <row r="899" spans="1:14">
      <c r="A899" s="81">
        <v>45964</v>
      </c>
      <c r="B899" s="82" t="s">
        <v>967</v>
      </c>
      <c r="C899" s="82" t="s">
        <v>31</v>
      </c>
      <c r="D899" s="82" t="s">
        <v>32</v>
      </c>
      <c r="E899" s="82" t="s">
        <v>42</v>
      </c>
      <c r="F899" s="83">
        <v>3</v>
      </c>
      <c r="G899" s="84">
        <v>820.65</v>
      </c>
      <c r="H899" s="85">
        <v>0</v>
      </c>
      <c r="I899" s="86">
        <f t="shared" si="28"/>
        <v>2461.9499999999998</v>
      </c>
      <c r="J899" s="86">
        <v>1501.79</v>
      </c>
      <c r="K899" s="86">
        <f t="shared" si="29"/>
        <v>960.15999999999985</v>
      </c>
      <c r="L899" s="87" t="s">
        <v>59</v>
      </c>
      <c r="M899" s="87" t="s">
        <v>60</v>
      </c>
      <c r="N899" s="88" t="s">
        <v>74</v>
      </c>
    </row>
    <row r="900" spans="1:14">
      <c r="A900" s="81">
        <v>45965</v>
      </c>
      <c r="B900" s="82" t="s">
        <v>968</v>
      </c>
      <c r="C900" s="82" t="s">
        <v>36</v>
      </c>
      <c r="D900" s="82" t="s">
        <v>27</v>
      </c>
      <c r="E900" s="82" t="s">
        <v>25</v>
      </c>
      <c r="F900" s="83">
        <v>10</v>
      </c>
      <c r="G900" s="84">
        <v>1262.3499999999999</v>
      </c>
      <c r="H900" s="85">
        <v>0.08</v>
      </c>
      <c r="I900" s="86">
        <f t="shared" si="28"/>
        <v>11613.62</v>
      </c>
      <c r="J900" s="86">
        <v>8583.98</v>
      </c>
      <c r="K900" s="86">
        <f t="shared" si="29"/>
        <v>3029.6400000000012</v>
      </c>
      <c r="L900" s="87" t="s">
        <v>67</v>
      </c>
      <c r="M900" s="87" t="s">
        <v>64</v>
      </c>
      <c r="N900" s="88" t="s">
        <v>71</v>
      </c>
    </row>
    <row r="901" spans="1:14">
      <c r="A901" s="81">
        <v>45966</v>
      </c>
      <c r="B901" s="82" t="s">
        <v>969</v>
      </c>
      <c r="C901" s="82" t="s">
        <v>40</v>
      </c>
      <c r="D901" s="82" t="s">
        <v>27</v>
      </c>
      <c r="E901" s="82" t="s">
        <v>35</v>
      </c>
      <c r="F901" s="83">
        <v>10</v>
      </c>
      <c r="G901" s="84">
        <v>398.66</v>
      </c>
      <c r="H901" s="85">
        <v>0.03</v>
      </c>
      <c r="I901" s="86">
        <f t="shared" si="28"/>
        <v>3867.0020000000004</v>
      </c>
      <c r="J901" s="86">
        <v>2391.96</v>
      </c>
      <c r="K901" s="86">
        <f t="shared" si="29"/>
        <v>1475.0420000000004</v>
      </c>
      <c r="L901" s="87" t="s">
        <v>63</v>
      </c>
      <c r="M901" s="87" t="s">
        <v>64</v>
      </c>
      <c r="N901" s="88" t="s">
        <v>69</v>
      </c>
    </row>
    <row r="902" spans="1:14">
      <c r="A902" s="81">
        <v>45967</v>
      </c>
      <c r="B902" s="82" t="s">
        <v>970</v>
      </c>
      <c r="C902" s="82" t="s">
        <v>40</v>
      </c>
      <c r="D902" s="82" t="s">
        <v>37</v>
      </c>
      <c r="E902" s="82" t="s">
        <v>48</v>
      </c>
      <c r="F902" s="83">
        <v>8</v>
      </c>
      <c r="G902" s="84">
        <v>71.61</v>
      </c>
      <c r="H902" s="85">
        <v>0.03</v>
      </c>
      <c r="I902" s="86">
        <f t="shared" si="28"/>
        <v>555.69359999999995</v>
      </c>
      <c r="J902" s="86">
        <v>240.61</v>
      </c>
      <c r="K902" s="86">
        <f t="shared" si="29"/>
        <v>315.08359999999993</v>
      </c>
      <c r="L902" s="87" t="s">
        <v>59</v>
      </c>
      <c r="M902" s="87" t="s">
        <v>60</v>
      </c>
      <c r="N902" s="88" t="s">
        <v>69</v>
      </c>
    </row>
    <row r="903" spans="1:14">
      <c r="A903" s="81">
        <v>45968</v>
      </c>
      <c r="B903" s="82" t="s">
        <v>971</v>
      </c>
      <c r="C903" s="82" t="s">
        <v>26</v>
      </c>
      <c r="D903" s="82" t="s">
        <v>32</v>
      </c>
      <c r="E903" s="82" t="s">
        <v>39</v>
      </c>
      <c r="F903" s="83">
        <v>10</v>
      </c>
      <c r="G903" s="84">
        <v>452.87</v>
      </c>
      <c r="H903" s="85">
        <v>0.1</v>
      </c>
      <c r="I903" s="86">
        <f t="shared" si="28"/>
        <v>4075.83</v>
      </c>
      <c r="J903" s="86">
        <v>2581.36</v>
      </c>
      <c r="K903" s="86">
        <f t="shared" si="29"/>
        <v>1494.4699999999998</v>
      </c>
      <c r="L903" s="87" t="s">
        <v>63</v>
      </c>
      <c r="M903" s="87" t="s">
        <v>60</v>
      </c>
      <c r="N903" s="88" t="s">
        <v>69</v>
      </c>
    </row>
    <row r="904" spans="1:14">
      <c r="A904" s="81">
        <v>45969</v>
      </c>
      <c r="B904" s="82" t="s">
        <v>972</v>
      </c>
      <c r="C904" s="82" t="s">
        <v>26</v>
      </c>
      <c r="D904" s="82" t="s">
        <v>32</v>
      </c>
      <c r="E904" s="82" t="s">
        <v>42</v>
      </c>
      <c r="F904" s="83">
        <v>3</v>
      </c>
      <c r="G904" s="84">
        <v>850.29</v>
      </c>
      <c r="H904" s="85">
        <v>0.12</v>
      </c>
      <c r="I904" s="86">
        <f t="shared" si="28"/>
        <v>2244.7655999999997</v>
      </c>
      <c r="J904" s="86">
        <v>1556.03</v>
      </c>
      <c r="K904" s="86">
        <f t="shared" si="29"/>
        <v>688.73559999999975</v>
      </c>
      <c r="L904" s="87" t="s">
        <v>67</v>
      </c>
      <c r="M904" s="87" t="s">
        <v>68</v>
      </c>
      <c r="N904" s="88" t="s">
        <v>61</v>
      </c>
    </row>
    <row r="905" spans="1:14">
      <c r="A905" s="81">
        <v>45969</v>
      </c>
      <c r="B905" s="82" t="s">
        <v>973</v>
      </c>
      <c r="C905" s="82" t="s">
        <v>36</v>
      </c>
      <c r="D905" s="82" t="s">
        <v>27</v>
      </c>
      <c r="E905" s="82" t="s">
        <v>35</v>
      </c>
      <c r="F905" s="83">
        <v>11</v>
      </c>
      <c r="G905" s="84">
        <v>412.93</v>
      </c>
      <c r="H905" s="85">
        <v>0</v>
      </c>
      <c r="I905" s="86">
        <f t="shared" si="28"/>
        <v>4542.2300000000005</v>
      </c>
      <c r="J905" s="86">
        <v>2725.34</v>
      </c>
      <c r="K905" s="86">
        <f t="shared" si="29"/>
        <v>1816.8900000000003</v>
      </c>
      <c r="L905" s="87" t="s">
        <v>59</v>
      </c>
      <c r="M905" s="87" t="s">
        <v>60</v>
      </c>
      <c r="N905" s="88" t="s">
        <v>65</v>
      </c>
    </row>
    <row r="906" spans="1:14">
      <c r="A906" s="81">
        <v>45970</v>
      </c>
      <c r="B906" s="82" t="s">
        <v>974</v>
      </c>
      <c r="C906" s="82" t="s">
        <v>26</v>
      </c>
      <c r="D906" s="82" t="s">
        <v>27</v>
      </c>
      <c r="E906" s="82" t="s">
        <v>30</v>
      </c>
      <c r="F906" s="83">
        <v>7</v>
      </c>
      <c r="G906" s="84">
        <v>662.2</v>
      </c>
      <c r="H906" s="85">
        <v>0.1</v>
      </c>
      <c r="I906" s="86">
        <f t="shared" si="28"/>
        <v>4171.8600000000006</v>
      </c>
      <c r="J906" s="86">
        <v>2966.66</v>
      </c>
      <c r="K906" s="86">
        <f t="shared" si="29"/>
        <v>1205.2000000000007</v>
      </c>
      <c r="L906" s="87" t="s">
        <v>67</v>
      </c>
      <c r="M906" s="87" t="s">
        <v>60</v>
      </c>
      <c r="N906" s="88" t="s">
        <v>78</v>
      </c>
    </row>
    <row r="907" spans="1:14">
      <c r="A907" s="81">
        <v>45970</v>
      </c>
      <c r="B907" s="82" t="s">
        <v>975</v>
      </c>
      <c r="C907" s="82" t="s">
        <v>36</v>
      </c>
      <c r="D907" s="82" t="s">
        <v>27</v>
      </c>
      <c r="E907" s="82" t="s">
        <v>25</v>
      </c>
      <c r="F907" s="83">
        <v>7</v>
      </c>
      <c r="G907" s="84">
        <v>1265.6500000000001</v>
      </c>
      <c r="H907" s="85">
        <v>0.03</v>
      </c>
      <c r="I907" s="86">
        <f t="shared" si="28"/>
        <v>8593.7635000000009</v>
      </c>
      <c r="J907" s="86">
        <v>6024.49</v>
      </c>
      <c r="K907" s="86">
        <f t="shared" si="29"/>
        <v>2569.2735000000011</v>
      </c>
      <c r="L907" s="87" t="s">
        <v>67</v>
      </c>
      <c r="M907" s="87" t="s">
        <v>64</v>
      </c>
      <c r="N907" s="88" t="s">
        <v>65</v>
      </c>
    </row>
    <row r="908" spans="1:14">
      <c r="A908" s="81">
        <v>45970</v>
      </c>
      <c r="B908" s="82" t="s">
        <v>976</v>
      </c>
      <c r="C908" s="82" t="s">
        <v>31</v>
      </c>
      <c r="D908" s="82" t="s">
        <v>32</v>
      </c>
      <c r="E908" s="82" t="s">
        <v>39</v>
      </c>
      <c r="F908" s="83">
        <v>2</v>
      </c>
      <c r="G908" s="84">
        <v>491.07</v>
      </c>
      <c r="H908" s="85">
        <v>0</v>
      </c>
      <c r="I908" s="86">
        <f t="shared" si="28"/>
        <v>982.14</v>
      </c>
      <c r="J908" s="86">
        <v>559.82000000000005</v>
      </c>
      <c r="K908" s="86">
        <f t="shared" si="29"/>
        <v>422.31999999999994</v>
      </c>
      <c r="L908" s="87" t="s">
        <v>67</v>
      </c>
      <c r="M908" s="87" t="s">
        <v>64</v>
      </c>
      <c r="N908" s="88" t="s">
        <v>74</v>
      </c>
    </row>
    <row r="909" spans="1:14">
      <c r="A909" s="81">
        <v>45972</v>
      </c>
      <c r="B909" s="82" t="s">
        <v>977</v>
      </c>
      <c r="C909" s="82" t="s">
        <v>40</v>
      </c>
      <c r="D909" s="82" t="s">
        <v>27</v>
      </c>
      <c r="E909" s="82" t="s">
        <v>35</v>
      </c>
      <c r="F909" s="83">
        <v>12</v>
      </c>
      <c r="G909" s="84">
        <v>411.46</v>
      </c>
      <c r="H909" s="85">
        <v>0.03</v>
      </c>
      <c r="I909" s="86">
        <f t="shared" si="28"/>
        <v>4789.3943999999992</v>
      </c>
      <c r="J909" s="86">
        <v>2962.51</v>
      </c>
      <c r="K909" s="86">
        <f t="shared" si="29"/>
        <v>1826.884399999999</v>
      </c>
      <c r="L909" s="87" t="s">
        <v>63</v>
      </c>
      <c r="M909" s="87" t="s">
        <v>68</v>
      </c>
      <c r="N909" s="88" t="s">
        <v>74</v>
      </c>
    </row>
    <row r="910" spans="1:14">
      <c r="A910" s="81">
        <v>45972</v>
      </c>
      <c r="B910" s="82" t="s">
        <v>978</v>
      </c>
      <c r="C910" s="82" t="s">
        <v>31</v>
      </c>
      <c r="D910" s="82" t="s">
        <v>27</v>
      </c>
      <c r="E910" s="82" t="s">
        <v>25</v>
      </c>
      <c r="F910" s="83">
        <v>10</v>
      </c>
      <c r="G910" s="84">
        <v>1299.6400000000001</v>
      </c>
      <c r="H910" s="85">
        <v>0</v>
      </c>
      <c r="I910" s="86">
        <f t="shared" si="28"/>
        <v>12996.400000000001</v>
      </c>
      <c r="J910" s="86">
        <v>8837.5499999999993</v>
      </c>
      <c r="K910" s="86">
        <f t="shared" si="29"/>
        <v>4158.8500000000022</v>
      </c>
      <c r="L910" s="87" t="s">
        <v>59</v>
      </c>
      <c r="M910" s="87" t="s">
        <v>64</v>
      </c>
      <c r="N910" s="88" t="s">
        <v>78</v>
      </c>
    </row>
    <row r="911" spans="1:14">
      <c r="A911" s="81">
        <v>45973</v>
      </c>
      <c r="B911" s="82" t="s">
        <v>979</v>
      </c>
      <c r="C911" s="82" t="s">
        <v>40</v>
      </c>
      <c r="D911" s="82" t="s">
        <v>32</v>
      </c>
      <c r="E911" s="82" t="s">
        <v>46</v>
      </c>
      <c r="F911" s="83">
        <v>10</v>
      </c>
      <c r="G911" s="84">
        <v>101.11</v>
      </c>
      <c r="H911" s="85">
        <v>0</v>
      </c>
      <c r="I911" s="86">
        <f t="shared" si="28"/>
        <v>1011.1</v>
      </c>
      <c r="J911" s="86">
        <v>485.33</v>
      </c>
      <c r="K911" s="86">
        <f t="shared" si="29"/>
        <v>525.77</v>
      </c>
      <c r="L911" s="87" t="s">
        <v>59</v>
      </c>
      <c r="M911" s="87" t="s">
        <v>68</v>
      </c>
      <c r="N911" s="88" t="s">
        <v>74</v>
      </c>
    </row>
    <row r="912" spans="1:14">
      <c r="A912" s="81">
        <v>45973</v>
      </c>
      <c r="B912" s="82" t="s">
        <v>980</v>
      </c>
      <c r="C912" s="82" t="s">
        <v>36</v>
      </c>
      <c r="D912" s="82" t="s">
        <v>27</v>
      </c>
      <c r="E912" s="82" t="s">
        <v>35</v>
      </c>
      <c r="F912" s="83">
        <v>2</v>
      </c>
      <c r="G912" s="84">
        <v>378.32</v>
      </c>
      <c r="H912" s="85">
        <v>0.05</v>
      </c>
      <c r="I912" s="86">
        <f t="shared" si="28"/>
        <v>718.80799999999999</v>
      </c>
      <c r="J912" s="86">
        <v>453.98</v>
      </c>
      <c r="K912" s="86">
        <f t="shared" si="29"/>
        <v>264.82799999999997</v>
      </c>
      <c r="L912" s="87" t="s">
        <v>67</v>
      </c>
      <c r="M912" s="87" t="s">
        <v>64</v>
      </c>
      <c r="N912" s="88" t="s">
        <v>65</v>
      </c>
    </row>
    <row r="913" spans="1:14">
      <c r="A913" s="81">
        <v>45974</v>
      </c>
      <c r="B913" s="82" t="s">
        <v>981</v>
      </c>
      <c r="C913" s="82" t="s">
        <v>26</v>
      </c>
      <c r="D913" s="82" t="s">
        <v>32</v>
      </c>
      <c r="E913" s="82" t="s">
        <v>39</v>
      </c>
      <c r="F913" s="83">
        <v>6</v>
      </c>
      <c r="G913" s="84">
        <v>463.11</v>
      </c>
      <c r="H913" s="85">
        <v>0.03</v>
      </c>
      <c r="I913" s="86">
        <f t="shared" si="28"/>
        <v>2695.3001999999997</v>
      </c>
      <c r="J913" s="86">
        <v>1583.84</v>
      </c>
      <c r="K913" s="86">
        <f t="shared" si="29"/>
        <v>1111.4601999999998</v>
      </c>
      <c r="L913" s="87" t="s">
        <v>59</v>
      </c>
      <c r="M913" s="87" t="s">
        <v>64</v>
      </c>
      <c r="N913" s="88" t="s">
        <v>61</v>
      </c>
    </row>
    <row r="914" spans="1:14">
      <c r="A914" s="81">
        <v>45974</v>
      </c>
      <c r="B914" s="82" t="s">
        <v>982</v>
      </c>
      <c r="C914" s="82" t="s">
        <v>36</v>
      </c>
      <c r="D914" s="82" t="s">
        <v>27</v>
      </c>
      <c r="E914" s="82" t="s">
        <v>25</v>
      </c>
      <c r="F914" s="83">
        <v>4</v>
      </c>
      <c r="G914" s="84">
        <v>1359.19</v>
      </c>
      <c r="H914" s="85">
        <v>0</v>
      </c>
      <c r="I914" s="86">
        <f t="shared" si="28"/>
        <v>5436.76</v>
      </c>
      <c r="J914" s="86">
        <v>3697</v>
      </c>
      <c r="K914" s="86">
        <f t="shared" si="29"/>
        <v>1739.7600000000002</v>
      </c>
      <c r="L914" s="87" t="s">
        <v>59</v>
      </c>
      <c r="M914" s="87" t="s">
        <v>68</v>
      </c>
      <c r="N914" s="88" t="s">
        <v>78</v>
      </c>
    </row>
    <row r="915" spans="1:14">
      <c r="A915" s="81">
        <v>45974</v>
      </c>
      <c r="B915" s="82" t="s">
        <v>983</v>
      </c>
      <c r="C915" s="82" t="s">
        <v>26</v>
      </c>
      <c r="D915" s="82" t="s">
        <v>37</v>
      </c>
      <c r="E915" s="82" t="s">
        <v>47</v>
      </c>
      <c r="F915" s="83">
        <v>7</v>
      </c>
      <c r="G915" s="84">
        <v>132.72999999999999</v>
      </c>
      <c r="H915" s="85">
        <v>0</v>
      </c>
      <c r="I915" s="86">
        <f t="shared" si="28"/>
        <v>929.1099999999999</v>
      </c>
      <c r="J915" s="86">
        <v>427.39</v>
      </c>
      <c r="K915" s="86">
        <f t="shared" si="29"/>
        <v>501.71999999999991</v>
      </c>
      <c r="L915" s="87" t="s">
        <v>59</v>
      </c>
      <c r="M915" s="87" t="s">
        <v>68</v>
      </c>
      <c r="N915" s="88" t="s">
        <v>78</v>
      </c>
    </row>
    <row r="916" spans="1:14">
      <c r="A916" s="81">
        <v>45974</v>
      </c>
      <c r="B916" s="82" t="s">
        <v>984</v>
      </c>
      <c r="C916" s="82" t="s">
        <v>40</v>
      </c>
      <c r="D916" s="82" t="s">
        <v>32</v>
      </c>
      <c r="E916" s="82" t="s">
        <v>39</v>
      </c>
      <c r="F916" s="83">
        <v>7</v>
      </c>
      <c r="G916" s="84">
        <v>458.49</v>
      </c>
      <c r="H916" s="85">
        <v>0.05</v>
      </c>
      <c r="I916" s="86">
        <f t="shared" si="28"/>
        <v>3048.9585000000002</v>
      </c>
      <c r="J916" s="86">
        <v>1829.38</v>
      </c>
      <c r="K916" s="86">
        <f t="shared" si="29"/>
        <v>1219.5785000000001</v>
      </c>
      <c r="L916" s="87" t="s">
        <v>63</v>
      </c>
      <c r="M916" s="87" t="s">
        <v>60</v>
      </c>
      <c r="N916" s="88" t="s">
        <v>65</v>
      </c>
    </row>
    <row r="917" spans="1:14">
      <c r="A917" s="81">
        <v>45977</v>
      </c>
      <c r="B917" s="82" t="s">
        <v>985</v>
      </c>
      <c r="C917" s="82" t="s">
        <v>40</v>
      </c>
      <c r="D917" s="82" t="s">
        <v>37</v>
      </c>
      <c r="E917" s="82" t="s">
        <v>47</v>
      </c>
      <c r="F917" s="83">
        <v>9</v>
      </c>
      <c r="G917" s="84">
        <v>133.65</v>
      </c>
      <c r="H917" s="85">
        <v>0.12</v>
      </c>
      <c r="I917" s="86">
        <f t="shared" si="28"/>
        <v>1058.508</v>
      </c>
      <c r="J917" s="86">
        <v>553.30999999999995</v>
      </c>
      <c r="K917" s="86">
        <f t="shared" si="29"/>
        <v>505.19800000000009</v>
      </c>
      <c r="L917" s="87" t="s">
        <v>59</v>
      </c>
      <c r="M917" s="87" t="s">
        <v>64</v>
      </c>
      <c r="N917" s="88" t="s">
        <v>61</v>
      </c>
    </row>
    <row r="918" spans="1:14">
      <c r="A918" s="81">
        <v>45977</v>
      </c>
      <c r="B918" s="82" t="s">
        <v>986</v>
      </c>
      <c r="C918" s="82" t="s">
        <v>40</v>
      </c>
      <c r="D918" s="82" t="s">
        <v>32</v>
      </c>
      <c r="E918" s="82" t="s">
        <v>46</v>
      </c>
      <c r="F918" s="83">
        <v>8</v>
      </c>
      <c r="G918" s="84">
        <v>108.15</v>
      </c>
      <c r="H918" s="85">
        <v>0.1</v>
      </c>
      <c r="I918" s="86">
        <f t="shared" si="28"/>
        <v>778.68000000000006</v>
      </c>
      <c r="J918" s="86">
        <v>415.3</v>
      </c>
      <c r="K918" s="86">
        <f t="shared" si="29"/>
        <v>363.38000000000005</v>
      </c>
      <c r="L918" s="87" t="s">
        <v>59</v>
      </c>
      <c r="M918" s="87" t="s">
        <v>64</v>
      </c>
      <c r="N918" s="88" t="s">
        <v>71</v>
      </c>
    </row>
    <row r="919" spans="1:14">
      <c r="A919" s="81">
        <v>45978</v>
      </c>
      <c r="B919" s="82" t="s">
        <v>987</v>
      </c>
      <c r="C919" s="82" t="s">
        <v>36</v>
      </c>
      <c r="D919" s="82" t="s">
        <v>32</v>
      </c>
      <c r="E919" s="82" t="s">
        <v>42</v>
      </c>
      <c r="F919" s="83">
        <v>11</v>
      </c>
      <c r="G919" s="84">
        <v>871.04</v>
      </c>
      <c r="H919" s="85">
        <v>0.08</v>
      </c>
      <c r="I919" s="86">
        <f t="shared" si="28"/>
        <v>8814.9247999999989</v>
      </c>
      <c r="J919" s="86">
        <v>5844.68</v>
      </c>
      <c r="K919" s="86">
        <f t="shared" si="29"/>
        <v>2970.2447999999986</v>
      </c>
      <c r="L919" s="87" t="s">
        <v>67</v>
      </c>
      <c r="M919" s="87" t="s">
        <v>60</v>
      </c>
      <c r="N919" s="88" t="s">
        <v>65</v>
      </c>
    </row>
    <row r="920" spans="1:14">
      <c r="A920" s="81">
        <v>45979</v>
      </c>
      <c r="B920" s="82" t="s">
        <v>988</v>
      </c>
      <c r="C920" s="82" t="s">
        <v>31</v>
      </c>
      <c r="D920" s="82" t="s">
        <v>32</v>
      </c>
      <c r="E920" s="82" t="s">
        <v>42</v>
      </c>
      <c r="F920" s="83">
        <v>11</v>
      </c>
      <c r="G920" s="84">
        <v>808.95</v>
      </c>
      <c r="H920" s="85">
        <v>0.08</v>
      </c>
      <c r="I920" s="86">
        <f t="shared" si="28"/>
        <v>8186.5740000000014</v>
      </c>
      <c r="J920" s="86">
        <v>5428.05</v>
      </c>
      <c r="K920" s="86">
        <f t="shared" si="29"/>
        <v>2758.5240000000013</v>
      </c>
      <c r="L920" s="87" t="s">
        <v>63</v>
      </c>
      <c r="M920" s="87" t="s">
        <v>68</v>
      </c>
      <c r="N920" s="88" t="s">
        <v>74</v>
      </c>
    </row>
    <row r="921" spans="1:14">
      <c r="A921" s="81">
        <v>45979</v>
      </c>
      <c r="B921" s="82" t="s">
        <v>989</v>
      </c>
      <c r="C921" s="82" t="s">
        <v>26</v>
      </c>
      <c r="D921" s="82" t="s">
        <v>32</v>
      </c>
      <c r="E921" s="82" t="s">
        <v>46</v>
      </c>
      <c r="F921" s="83">
        <v>10</v>
      </c>
      <c r="G921" s="84">
        <v>102.71</v>
      </c>
      <c r="H921" s="85">
        <v>0.1</v>
      </c>
      <c r="I921" s="86">
        <f t="shared" si="28"/>
        <v>924.39</v>
      </c>
      <c r="J921" s="86">
        <v>493.01</v>
      </c>
      <c r="K921" s="86">
        <f t="shared" si="29"/>
        <v>431.38</v>
      </c>
      <c r="L921" s="87" t="s">
        <v>67</v>
      </c>
      <c r="M921" s="87" t="s">
        <v>64</v>
      </c>
      <c r="N921" s="88" t="s">
        <v>74</v>
      </c>
    </row>
    <row r="922" spans="1:14">
      <c r="A922" s="81">
        <v>45980</v>
      </c>
      <c r="B922" s="82" t="s">
        <v>990</v>
      </c>
      <c r="C922" s="82" t="s">
        <v>40</v>
      </c>
      <c r="D922" s="82" t="s">
        <v>37</v>
      </c>
      <c r="E922" s="82" t="s">
        <v>47</v>
      </c>
      <c r="F922" s="83">
        <v>9</v>
      </c>
      <c r="G922" s="84">
        <v>130.07</v>
      </c>
      <c r="H922" s="85">
        <v>0</v>
      </c>
      <c r="I922" s="86">
        <f t="shared" si="28"/>
        <v>1170.6299999999999</v>
      </c>
      <c r="J922" s="86">
        <v>538.49</v>
      </c>
      <c r="K922" s="86">
        <f t="shared" si="29"/>
        <v>632.13999999999987</v>
      </c>
      <c r="L922" s="87" t="s">
        <v>63</v>
      </c>
      <c r="M922" s="87" t="s">
        <v>60</v>
      </c>
      <c r="N922" s="88" t="s">
        <v>69</v>
      </c>
    </row>
    <row r="923" spans="1:14">
      <c r="A923" s="81">
        <v>45980</v>
      </c>
      <c r="B923" s="82" t="s">
        <v>991</v>
      </c>
      <c r="C923" s="82" t="s">
        <v>26</v>
      </c>
      <c r="D923" s="82" t="s">
        <v>32</v>
      </c>
      <c r="E923" s="82" t="s">
        <v>46</v>
      </c>
      <c r="F923" s="83">
        <v>4</v>
      </c>
      <c r="G923" s="84">
        <v>108.69</v>
      </c>
      <c r="H923" s="85">
        <v>0</v>
      </c>
      <c r="I923" s="86">
        <f t="shared" si="28"/>
        <v>434.76</v>
      </c>
      <c r="J923" s="86">
        <v>208.68</v>
      </c>
      <c r="K923" s="86">
        <f t="shared" si="29"/>
        <v>226.07999999999998</v>
      </c>
      <c r="L923" s="87" t="s">
        <v>59</v>
      </c>
      <c r="M923" s="87" t="s">
        <v>68</v>
      </c>
      <c r="N923" s="88" t="s">
        <v>78</v>
      </c>
    </row>
    <row r="924" spans="1:14">
      <c r="A924" s="81">
        <v>45981</v>
      </c>
      <c r="B924" s="82" t="s">
        <v>992</v>
      </c>
      <c r="C924" s="82" t="s">
        <v>26</v>
      </c>
      <c r="D924" s="82" t="s">
        <v>37</v>
      </c>
      <c r="E924" s="82" t="s">
        <v>48</v>
      </c>
      <c r="F924" s="83">
        <v>6</v>
      </c>
      <c r="G924" s="84">
        <v>73.06</v>
      </c>
      <c r="H924" s="85">
        <v>0</v>
      </c>
      <c r="I924" s="86">
        <f t="shared" si="28"/>
        <v>438.36</v>
      </c>
      <c r="J924" s="86">
        <v>184.11</v>
      </c>
      <c r="K924" s="86">
        <f t="shared" si="29"/>
        <v>254.25</v>
      </c>
      <c r="L924" s="87" t="s">
        <v>63</v>
      </c>
      <c r="M924" s="87" t="s">
        <v>68</v>
      </c>
      <c r="N924" s="88" t="s">
        <v>74</v>
      </c>
    </row>
    <row r="925" spans="1:14">
      <c r="A925" s="81">
        <v>45981</v>
      </c>
      <c r="B925" s="82" t="s">
        <v>993</v>
      </c>
      <c r="C925" s="82" t="s">
        <v>40</v>
      </c>
      <c r="D925" s="82" t="s">
        <v>32</v>
      </c>
      <c r="E925" s="82" t="s">
        <v>39</v>
      </c>
      <c r="F925" s="83">
        <v>5</v>
      </c>
      <c r="G925" s="84">
        <v>495.31</v>
      </c>
      <c r="H925" s="85">
        <v>0</v>
      </c>
      <c r="I925" s="86">
        <f t="shared" si="28"/>
        <v>2476.5500000000002</v>
      </c>
      <c r="J925" s="86">
        <v>1411.63</v>
      </c>
      <c r="K925" s="86">
        <f t="shared" si="29"/>
        <v>1064.92</v>
      </c>
      <c r="L925" s="87" t="s">
        <v>59</v>
      </c>
      <c r="M925" s="87" t="s">
        <v>64</v>
      </c>
      <c r="N925" s="88" t="s">
        <v>74</v>
      </c>
    </row>
    <row r="926" spans="1:14">
      <c r="A926" s="81">
        <v>45981</v>
      </c>
      <c r="B926" s="82" t="s">
        <v>994</v>
      </c>
      <c r="C926" s="82" t="s">
        <v>26</v>
      </c>
      <c r="D926" s="82" t="s">
        <v>37</v>
      </c>
      <c r="E926" s="82" t="s">
        <v>48</v>
      </c>
      <c r="F926" s="83">
        <v>4</v>
      </c>
      <c r="G926" s="84">
        <v>77.48</v>
      </c>
      <c r="H926" s="85">
        <v>0.1</v>
      </c>
      <c r="I926" s="86">
        <f t="shared" si="28"/>
        <v>278.928</v>
      </c>
      <c r="J926" s="86">
        <v>130.16999999999999</v>
      </c>
      <c r="K926" s="86">
        <f t="shared" si="29"/>
        <v>148.75800000000001</v>
      </c>
      <c r="L926" s="87" t="s">
        <v>63</v>
      </c>
      <c r="M926" s="87" t="s">
        <v>60</v>
      </c>
      <c r="N926" s="88" t="s">
        <v>78</v>
      </c>
    </row>
    <row r="927" spans="1:14">
      <c r="A927" s="81">
        <v>45982</v>
      </c>
      <c r="B927" s="82" t="s">
        <v>995</v>
      </c>
      <c r="C927" s="82" t="s">
        <v>40</v>
      </c>
      <c r="D927" s="82" t="s">
        <v>32</v>
      </c>
      <c r="E927" s="82" t="s">
        <v>39</v>
      </c>
      <c r="F927" s="83">
        <v>9</v>
      </c>
      <c r="G927" s="84">
        <v>495.4</v>
      </c>
      <c r="H927" s="85">
        <v>0.08</v>
      </c>
      <c r="I927" s="86">
        <f t="shared" si="28"/>
        <v>4101.9119999999994</v>
      </c>
      <c r="J927" s="86">
        <v>2541.4</v>
      </c>
      <c r="K927" s="86">
        <f t="shared" si="29"/>
        <v>1560.5119999999993</v>
      </c>
      <c r="L927" s="87" t="s">
        <v>63</v>
      </c>
      <c r="M927" s="87" t="s">
        <v>60</v>
      </c>
      <c r="N927" s="88" t="s">
        <v>61</v>
      </c>
    </row>
    <row r="928" spans="1:14">
      <c r="A928" s="81">
        <v>45984</v>
      </c>
      <c r="B928" s="82" t="s">
        <v>996</v>
      </c>
      <c r="C928" s="82" t="s">
        <v>26</v>
      </c>
      <c r="D928" s="82" t="s">
        <v>32</v>
      </c>
      <c r="E928" s="82" t="s">
        <v>39</v>
      </c>
      <c r="F928" s="83">
        <v>12</v>
      </c>
      <c r="G928" s="84">
        <v>476.46</v>
      </c>
      <c r="H928" s="85">
        <v>0.1</v>
      </c>
      <c r="I928" s="86">
        <f t="shared" si="28"/>
        <v>5145.768</v>
      </c>
      <c r="J928" s="86">
        <v>3258.99</v>
      </c>
      <c r="K928" s="86">
        <f t="shared" si="29"/>
        <v>1886.7780000000002</v>
      </c>
      <c r="L928" s="87" t="s">
        <v>59</v>
      </c>
      <c r="M928" s="87" t="s">
        <v>68</v>
      </c>
      <c r="N928" s="88" t="s">
        <v>69</v>
      </c>
    </row>
    <row r="929" spans="1:14">
      <c r="A929" s="81">
        <v>45984</v>
      </c>
      <c r="B929" s="82" t="s">
        <v>997</v>
      </c>
      <c r="C929" s="82" t="s">
        <v>31</v>
      </c>
      <c r="D929" s="82" t="s">
        <v>32</v>
      </c>
      <c r="E929" s="82" t="s">
        <v>42</v>
      </c>
      <c r="F929" s="83">
        <v>2</v>
      </c>
      <c r="G929" s="84">
        <v>796.14</v>
      </c>
      <c r="H929" s="85">
        <v>0</v>
      </c>
      <c r="I929" s="86">
        <f t="shared" si="28"/>
        <v>1592.28</v>
      </c>
      <c r="J929" s="86">
        <v>971.29</v>
      </c>
      <c r="K929" s="86">
        <f t="shared" si="29"/>
        <v>620.99</v>
      </c>
      <c r="L929" s="87" t="s">
        <v>59</v>
      </c>
      <c r="M929" s="87" t="s">
        <v>64</v>
      </c>
      <c r="N929" s="88" t="s">
        <v>65</v>
      </c>
    </row>
    <row r="930" spans="1:14">
      <c r="A930" s="81">
        <v>45984</v>
      </c>
      <c r="B930" s="82" t="s">
        <v>998</v>
      </c>
      <c r="C930" s="82" t="s">
        <v>40</v>
      </c>
      <c r="D930" s="82" t="s">
        <v>27</v>
      </c>
      <c r="E930" s="82" t="s">
        <v>30</v>
      </c>
      <c r="F930" s="83">
        <v>4</v>
      </c>
      <c r="G930" s="84">
        <v>665.94</v>
      </c>
      <c r="H930" s="85">
        <v>0.1</v>
      </c>
      <c r="I930" s="86">
        <f t="shared" si="28"/>
        <v>2397.3840000000005</v>
      </c>
      <c r="J930" s="86">
        <v>1704.81</v>
      </c>
      <c r="K930" s="86">
        <f t="shared" si="29"/>
        <v>692.57400000000052</v>
      </c>
      <c r="L930" s="87" t="s">
        <v>63</v>
      </c>
      <c r="M930" s="87" t="s">
        <v>60</v>
      </c>
      <c r="N930" s="88" t="s">
        <v>69</v>
      </c>
    </row>
    <row r="931" spans="1:14">
      <c r="A931" s="81">
        <v>45984</v>
      </c>
      <c r="B931" s="82" t="s">
        <v>999</v>
      </c>
      <c r="C931" s="82" t="s">
        <v>36</v>
      </c>
      <c r="D931" s="82" t="s">
        <v>27</v>
      </c>
      <c r="E931" s="82" t="s">
        <v>35</v>
      </c>
      <c r="F931" s="83">
        <v>10</v>
      </c>
      <c r="G931" s="84">
        <v>382.45</v>
      </c>
      <c r="H931" s="85">
        <v>0.08</v>
      </c>
      <c r="I931" s="86">
        <f t="shared" si="28"/>
        <v>3518.54</v>
      </c>
      <c r="J931" s="86">
        <v>2294.6999999999998</v>
      </c>
      <c r="K931" s="86">
        <f t="shared" si="29"/>
        <v>1223.8400000000001</v>
      </c>
      <c r="L931" s="87" t="s">
        <v>59</v>
      </c>
      <c r="M931" s="87" t="s">
        <v>64</v>
      </c>
      <c r="N931" s="88" t="s">
        <v>74</v>
      </c>
    </row>
    <row r="932" spans="1:14">
      <c r="A932" s="81">
        <v>45984</v>
      </c>
      <c r="B932" s="82" t="s">
        <v>1000</v>
      </c>
      <c r="C932" s="82" t="s">
        <v>31</v>
      </c>
      <c r="D932" s="82" t="s">
        <v>37</v>
      </c>
      <c r="E932" s="82" t="s">
        <v>47</v>
      </c>
      <c r="F932" s="83">
        <v>10</v>
      </c>
      <c r="G932" s="84">
        <v>137.21</v>
      </c>
      <c r="H932" s="85">
        <v>0</v>
      </c>
      <c r="I932" s="86">
        <f t="shared" si="28"/>
        <v>1372.1000000000001</v>
      </c>
      <c r="J932" s="86">
        <v>631.16999999999996</v>
      </c>
      <c r="K932" s="86">
        <f t="shared" si="29"/>
        <v>740.93000000000018</v>
      </c>
      <c r="L932" s="87" t="s">
        <v>59</v>
      </c>
      <c r="M932" s="87" t="s">
        <v>60</v>
      </c>
      <c r="N932" s="88" t="s">
        <v>71</v>
      </c>
    </row>
    <row r="933" spans="1:14">
      <c r="A933" s="81">
        <v>45985</v>
      </c>
      <c r="B933" s="82" t="s">
        <v>1001</v>
      </c>
      <c r="C933" s="82" t="s">
        <v>26</v>
      </c>
      <c r="D933" s="82" t="s">
        <v>32</v>
      </c>
      <c r="E933" s="82" t="s">
        <v>46</v>
      </c>
      <c r="F933" s="83">
        <v>8</v>
      </c>
      <c r="G933" s="84">
        <v>108.34</v>
      </c>
      <c r="H933" s="85">
        <v>0.1</v>
      </c>
      <c r="I933" s="86">
        <f t="shared" si="28"/>
        <v>780.048</v>
      </c>
      <c r="J933" s="86">
        <v>416.03</v>
      </c>
      <c r="K933" s="86">
        <f t="shared" si="29"/>
        <v>364.01800000000003</v>
      </c>
      <c r="L933" s="87" t="s">
        <v>59</v>
      </c>
      <c r="M933" s="87" t="s">
        <v>64</v>
      </c>
      <c r="N933" s="88" t="s">
        <v>65</v>
      </c>
    </row>
    <row r="934" spans="1:14">
      <c r="A934" s="81">
        <v>45985</v>
      </c>
      <c r="B934" s="82" t="s">
        <v>1002</v>
      </c>
      <c r="C934" s="82" t="s">
        <v>26</v>
      </c>
      <c r="D934" s="82" t="s">
        <v>32</v>
      </c>
      <c r="E934" s="82" t="s">
        <v>42</v>
      </c>
      <c r="F934" s="83">
        <v>6</v>
      </c>
      <c r="G934" s="84">
        <v>829.14</v>
      </c>
      <c r="H934" s="85">
        <v>0.12</v>
      </c>
      <c r="I934" s="86">
        <f t="shared" si="28"/>
        <v>4377.8591999999999</v>
      </c>
      <c r="J934" s="86">
        <v>3034.65</v>
      </c>
      <c r="K934" s="86">
        <f t="shared" si="29"/>
        <v>1343.2091999999998</v>
      </c>
      <c r="L934" s="87" t="s">
        <v>63</v>
      </c>
      <c r="M934" s="87" t="s">
        <v>68</v>
      </c>
      <c r="N934" s="88" t="s">
        <v>78</v>
      </c>
    </row>
    <row r="935" spans="1:14">
      <c r="A935" s="81">
        <v>45986</v>
      </c>
      <c r="B935" s="82" t="s">
        <v>1003</v>
      </c>
      <c r="C935" s="82" t="s">
        <v>31</v>
      </c>
      <c r="D935" s="82" t="s">
        <v>37</v>
      </c>
      <c r="E935" s="82" t="s">
        <v>47</v>
      </c>
      <c r="F935" s="83">
        <v>5</v>
      </c>
      <c r="G935" s="84">
        <v>134.04</v>
      </c>
      <c r="H935" s="85">
        <v>0</v>
      </c>
      <c r="I935" s="86">
        <f t="shared" si="28"/>
        <v>670.19999999999993</v>
      </c>
      <c r="J935" s="86">
        <v>308.29000000000002</v>
      </c>
      <c r="K935" s="86">
        <f t="shared" si="29"/>
        <v>361.90999999999991</v>
      </c>
      <c r="L935" s="87" t="s">
        <v>59</v>
      </c>
      <c r="M935" s="87" t="s">
        <v>60</v>
      </c>
      <c r="N935" s="88" t="s">
        <v>74</v>
      </c>
    </row>
    <row r="936" spans="1:14">
      <c r="A936" s="81">
        <v>45987</v>
      </c>
      <c r="B936" s="82" t="s">
        <v>1004</v>
      </c>
      <c r="C936" s="82" t="s">
        <v>31</v>
      </c>
      <c r="D936" s="82" t="s">
        <v>32</v>
      </c>
      <c r="E936" s="82" t="s">
        <v>46</v>
      </c>
      <c r="F936" s="83">
        <v>12</v>
      </c>
      <c r="G936" s="84">
        <v>100.3</v>
      </c>
      <c r="H936" s="85">
        <v>0.12</v>
      </c>
      <c r="I936" s="86">
        <f t="shared" si="28"/>
        <v>1059.1679999999999</v>
      </c>
      <c r="J936" s="86">
        <v>577.73</v>
      </c>
      <c r="K936" s="86">
        <f t="shared" si="29"/>
        <v>481.43799999999987</v>
      </c>
      <c r="L936" s="87" t="s">
        <v>67</v>
      </c>
      <c r="M936" s="87" t="s">
        <v>68</v>
      </c>
      <c r="N936" s="88" t="s">
        <v>71</v>
      </c>
    </row>
    <row r="937" spans="1:14">
      <c r="A937" s="81">
        <v>45988</v>
      </c>
      <c r="B937" s="82" t="s">
        <v>1005</v>
      </c>
      <c r="C937" s="82" t="s">
        <v>31</v>
      </c>
      <c r="D937" s="82" t="s">
        <v>32</v>
      </c>
      <c r="E937" s="82" t="s">
        <v>42</v>
      </c>
      <c r="F937" s="83">
        <v>6</v>
      </c>
      <c r="G937" s="84">
        <v>805.81</v>
      </c>
      <c r="H937" s="85">
        <v>0.03</v>
      </c>
      <c r="I937" s="86">
        <f t="shared" si="28"/>
        <v>4689.8141999999998</v>
      </c>
      <c r="J937" s="86">
        <v>2949.26</v>
      </c>
      <c r="K937" s="86">
        <f t="shared" si="29"/>
        <v>1740.5541999999996</v>
      </c>
      <c r="L937" s="87" t="s">
        <v>59</v>
      </c>
      <c r="M937" s="87" t="s">
        <v>64</v>
      </c>
      <c r="N937" s="88" t="s">
        <v>61</v>
      </c>
    </row>
    <row r="938" spans="1:14">
      <c r="A938" s="81">
        <v>45989</v>
      </c>
      <c r="B938" s="82" t="s">
        <v>1006</v>
      </c>
      <c r="C938" s="82" t="s">
        <v>26</v>
      </c>
      <c r="D938" s="82" t="s">
        <v>37</v>
      </c>
      <c r="E938" s="82" t="s">
        <v>48</v>
      </c>
      <c r="F938" s="83">
        <v>11</v>
      </c>
      <c r="G938" s="84">
        <v>75.08</v>
      </c>
      <c r="H938" s="85">
        <v>0.03</v>
      </c>
      <c r="I938" s="86">
        <f t="shared" si="28"/>
        <v>801.10360000000003</v>
      </c>
      <c r="J938" s="86">
        <v>346.87</v>
      </c>
      <c r="K938" s="86">
        <f t="shared" si="29"/>
        <v>454.23360000000002</v>
      </c>
      <c r="L938" s="87" t="s">
        <v>67</v>
      </c>
      <c r="M938" s="87" t="s">
        <v>60</v>
      </c>
      <c r="N938" s="88" t="s">
        <v>74</v>
      </c>
    </row>
    <row r="939" spans="1:14">
      <c r="A939" s="81">
        <v>45990</v>
      </c>
      <c r="B939" s="82" t="s">
        <v>1007</v>
      </c>
      <c r="C939" s="82" t="s">
        <v>36</v>
      </c>
      <c r="D939" s="82" t="s">
        <v>37</v>
      </c>
      <c r="E939" s="82" t="s">
        <v>47</v>
      </c>
      <c r="F939" s="83">
        <v>8</v>
      </c>
      <c r="G939" s="84">
        <v>127.35</v>
      </c>
      <c r="H939" s="85">
        <v>0.1</v>
      </c>
      <c r="I939" s="86">
        <f t="shared" si="28"/>
        <v>916.92</v>
      </c>
      <c r="J939" s="86">
        <v>468.65</v>
      </c>
      <c r="K939" s="86">
        <f t="shared" si="29"/>
        <v>448.27</v>
      </c>
      <c r="L939" s="87" t="s">
        <v>59</v>
      </c>
      <c r="M939" s="87" t="s">
        <v>64</v>
      </c>
      <c r="N939" s="88" t="s">
        <v>65</v>
      </c>
    </row>
    <row r="940" spans="1:14">
      <c r="A940" s="81">
        <v>45990</v>
      </c>
      <c r="B940" s="82" t="s">
        <v>1008</v>
      </c>
      <c r="C940" s="82" t="s">
        <v>40</v>
      </c>
      <c r="D940" s="82" t="s">
        <v>37</v>
      </c>
      <c r="E940" s="82" t="s">
        <v>47</v>
      </c>
      <c r="F940" s="83">
        <v>3</v>
      </c>
      <c r="G940" s="84">
        <v>128.78</v>
      </c>
      <c r="H940" s="85">
        <v>0.12</v>
      </c>
      <c r="I940" s="86">
        <f t="shared" si="28"/>
        <v>339.97920000000005</v>
      </c>
      <c r="J940" s="86">
        <v>177.72</v>
      </c>
      <c r="K940" s="86">
        <f t="shared" si="29"/>
        <v>162.25920000000005</v>
      </c>
      <c r="L940" s="87" t="s">
        <v>63</v>
      </c>
      <c r="M940" s="87" t="s">
        <v>64</v>
      </c>
      <c r="N940" s="88" t="s">
        <v>78</v>
      </c>
    </row>
    <row r="941" spans="1:14">
      <c r="A941" s="81">
        <v>45992</v>
      </c>
      <c r="B941" s="82" t="s">
        <v>1009</v>
      </c>
      <c r="C941" s="82" t="s">
        <v>26</v>
      </c>
      <c r="D941" s="82" t="s">
        <v>27</v>
      </c>
      <c r="E941" s="82" t="s">
        <v>25</v>
      </c>
      <c r="F941" s="83">
        <v>4</v>
      </c>
      <c r="G941" s="84">
        <v>1235.21</v>
      </c>
      <c r="H941" s="85">
        <v>0.03</v>
      </c>
      <c r="I941" s="86">
        <f t="shared" si="28"/>
        <v>4792.6148000000003</v>
      </c>
      <c r="J941" s="86">
        <v>3359.77</v>
      </c>
      <c r="K941" s="86">
        <f t="shared" si="29"/>
        <v>1432.8448000000003</v>
      </c>
      <c r="L941" s="87" t="s">
        <v>63</v>
      </c>
      <c r="M941" s="87" t="s">
        <v>64</v>
      </c>
      <c r="N941" s="88" t="s">
        <v>61</v>
      </c>
    </row>
    <row r="942" spans="1:14">
      <c r="A942" s="81">
        <v>45994</v>
      </c>
      <c r="B942" s="82" t="s">
        <v>1010</v>
      </c>
      <c r="C942" s="82" t="s">
        <v>40</v>
      </c>
      <c r="D942" s="82" t="s">
        <v>37</v>
      </c>
      <c r="E942" s="82" t="s">
        <v>48</v>
      </c>
      <c r="F942" s="83">
        <v>3</v>
      </c>
      <c r="G942" s="84">
        <v>75.39</v>
      </c>
      <c r="H942" s="85">
        <v>0.12</v>
      </c>
      <c r="I942" s="86">
        <f t="shared" si="28"/>
        <v>199.02960000000002</v>
      </c>
      <c r="J942" s="86">
        <v>94.99</v>
      </c>
      <c r="K942" s="86">
        <f t="shared" si="29"/>
        <v>104.03960000000002</v>
      </c>
      <c r="L942" s="87" t="s">
        <v>59</v>
      </c>
      <c r="M942" s="87" t="s">
        <v>64</v>
      </c>
      <c r="N942" s="88" t="s">
        <v>61</v>
      </c>
    </row>
    <row r="943" spans="1:14">
      <c r="A943" s="81">
        <v>45994</v>
      </c>
      <c r="B943" s="82" t="s">
        <v>1011</v>
      </c>
      <c r="C943" s="82" t="s">
        <v>31</v>
      </c>
      <c r="D943" s="82" t="s">
        <v>37</v>
      </c>
      <c r="E943" s="82" t="s">
        <v>47</v>
      </c>
      <c r="F943" s="83">
        <v>8</v>
      </c>
      <c r="G943" s="84">
        <v>127.54</v>
      </c>
      <c r="H943" s="85">
        <v>0</v>
      </c>
      <c r="I943" s="86">
        <f t="shared" si="28"/>
        <v>1020.32</v>
      </c>
      <c r="J943" s="86">
        <v>469.35</v>
      </c>
      <c r="K943" s="86">
        <f t="shared" si="29"/>
        <v>550.97</v>
      </c>
      <c r="L943" s="87" t="s">
        <v>67</v>
      </c>
      <c r="M943" s="87" t="s">
        <v>64</v>
      </c>
      <c r="N943" s="88" t="s">
        <v>78</v>
      </c>
    </row>
    <row r="944" spans="1:14">
      <c r="A944" s="81">
        <v>45994</v>
      </c>
      <c r="B944" s="82" t="s">
        <v>1012</v>
      </c>
      <c r="C944" s="82" t="s">
        <v>40</v>
      </c>
      <c r="D944" s="82" t="s">
        <v>37</v>
      </c>
      <c r="E944" s="82" t="s">
        <v>47</v>
      </c>
      <c r="F944" s="83">
        <v>4</v>
      </c>
      <c r="G944" s="84">
        <v>129.51</v>
      </c>
      <c r="H944" s="85">
        <v>0.03</v>
      </c>
      <c r="I944" s="86">
        <f t="shared" si="28"/>
        <v>502.49879999999996</v>
      </c>
      <c r="J944" s="86">
        <v>238.3</v>
      </c>
      <c r="K944" s="86">
        <f t="shared" si="29"/>
        <v>264.19879999999995</v>
      </c>
      <c r="L944" s="87" t="s">
        <v>67</v>
      </c>
      <c r="M944" s="87" t="s">
        <v>60</v>
      </c>
      <c r="N944" s="88" t="s">
        <v>71</v>
      </c>
    </row>
    <row r="945" spans="1:14">
      <c r="A945" s="81">
        <v>45994</v>
      </c>
      <c r="B945" s="82" t="s">
        <v>1013</v>
      </c>
      <c r="C945" s="82" t="s">
        <v>36</v>
      </c>
      <c r="D945" s="82" t="s">
        <v>27</v>
      </c>
      <c r="E945" s="82" t="s">
        <v>25</v>
      </c>
      <c r="F945" s="83">
        <v>5</v>
      </c>
      <c r="G945" s="84">
        <v>1266.7</v>
      </c>
      <c r="H945" s="85">
        <v>0.08</v>
      </c>
      <c r="I945" s="86">
        <f t="shared" si="28"/>
        <v>5826.8200000000006</v>
      </c>
      <c r="J945" s="86">
        <v>4306.78</v>
      </c>
      <c r="K945" s="86">
        <f t="shared" si="29"/>
        <v>1520.0400000000009</v>
      </c>
      <c r="L945" s="87" t="s">
        <v>63</v>
      </c>
      <c r="M945" s="87" t="s">
        <v>60</v>
      </c>
      <c r="N945" s="88" t="s">
        <v>61</v>
      </c>
    </row>
    <row r="946" spans="1:14">
      <c r="A946" s="81">
        <v>45994</v>
      </c>
      <c r="B946" s="82" t="s">
        <v>1014</v>
      </c>
      <c r="C946" s="82" t="s">
        <v>26</v>
      </c>
      <c r="D946" s="82" t="s">
        <v>32</v>
      </c>
      <c r="E946" s="82" t="s">
        <v>46</v>
      </c>
      <c r="F946" s="83">
        <v>5</v>
      </c>
      <c r="G946" s="84">
        <v>106.12</v>
      </c>
      <c r="H946" s="85">
        <v>0.05</v>
      </c>
      <c r="I946" s="86">
        <f t="shared" si="28"/>
        <v>504.07</v>
      </c>
      <c r="J946" s="86">
        <v>254.69</v>
      </c>
      <c r="K946" s="86">
        <f t="shared" si="29"/>
        <v>249.38</v>
      </c>
      <c r="L946" s="87" t="s">
        <v>59</v>
      </c>
      <c r="M946" s="87" t="s">
        <v>68</v>
      </c>
      <c r="N946" s="88" t="s">
        <v>74</v>
      </c>
    </row>
    <row r="947" spans="1:14">
      <c r="A947" s="81">
        <v>45999</v>
      </c>
      <c r="B947" s="82" t="s">
        <v>1015</v>
      </c>
      <c r="C947" s="82" t="s">
        <v>31</v>
      </c>
      <c r="D947" s="82" t="s">
        <v>27</v>
      </c>
      <c r="E947" s="82" t="s">
        <v>30</v>
      </c>
      <c r="F947" s="83">
        <v>10</v>
      </c>
      <c r="G947" s="84">
        <v>705.84</v>
      </c>
      <c r="H947" s="85">
        <v>0.03</v>
      </c>
      <c r="I947" s="86">
        <f t="shared" si="28"/>
        <v>6846.6480000000001</v>
      </c>
      <c r="J947" s="86">
        <v>4517.38</v>
      </c>
      <c r="K947" s="86">
        <f t="shared" si="29"/>
        <v>2329.268</v>
      </c>
      <c r="L947" s="87" t="s">
        <v>59</v>
      </c>
      <c r="M947" s="87" t="s">
        <v>68</v>
      </c>
      <c r="N947" s="88" t="s">
        <v>61</v>
      </c>
    </row>
    <row r="948" spans="1:14">
      <c r="A948" s="81">
        <v>46000</v>
      </c>
      <c r="B948" s="82" t="s">
        <v>1016</v>
      </c>
      <c r="C948" s="82" t="s">
        <v>36</v>
      </c>
      <c r="D948" s="82" t="s">
        <v>27</v>
      </c>
      <c r="E948" s="82" t="s">
        <v>35</v>
      </c>
      <c r="F948" s="83">
        <v>8</v>
      </c>
      <c r="G948" s="84">
        <v>415.94</v>
      </c>
      <c r="H948" s="85">
        <v>0.03</v>
      </c>
      <c r="I948" s="86">
        <f t="shared" si="28"/>
        <v>3227.6943999999999</v>
      </c>
      <c r="J948" s="86">
        <v>1996.51</v>
      </c>
      <c r="K948" s="86">
        <f t="shared" si="29"/>
        <v>1231.1843999999999</v>
      </c>
      <c r="L948" s="87" t="s">
        <v>67</v>
      </c>
      <c r="M948" s="87" t="s">
        <v>64</v>
      </c>
      <c r="N948" s="88" t="s">
        <v>65</v>
      </c>
    </row>
    <row r="949" spans="1:14">
      <c r="A949" s="81">
        <v>46001</v>
      </c>
      <c r="B949" s="82" t="s">
        <v>1017</v>
      </c>
      <c r="C949" s="82" t="s">
        <v>26</v>
      </c>
      <c r="D949" s="82" t="s">
        <v>32</v>
      </c>
      <c r="E949" s="82" t="s">
        <v>42</v>
      </c>
      <c r="F949" s="83">
        <v>4</v>
      </c>
      <c r="G949" s="84">
        <v>827.2</v>
      </c>
      <c r="H949" s="85">
        <v>0.05</v>
      </c>
      <c r="I949" s="86">
        <f t="shared" si="28"/>
        <v>3143.36</v>
      </c>
      <c r="J949" s="86">
        <v>2018.37</v>
      </c>
      <c r="K949" s="86">
        <f t="shared" si="29"/>
        <v>1124.9900000000002</v>
      </c>
      <c r="L949" s="87" t="s">
        <v>67</v>
      </c>
      <c r="M949" s="87" t="s">
        <v>60</v>
      </c>
      <c r="N949" s="88" t="s">
        <v>78</v>
      </c>
    </row>
    <row r="950" spans="1:14">
      <c r="A950" s="81">
        <v>46003</v>
      </c>
      <c r="B950" s="82" t="s">
        <v>1018</v>
      </c>
      <c r="C950" s="82" t="s">
        <v>36</v>
      </c>
      <c r="D950" s="82" t="s">
        <v>37</v>
      </c>
      <c r="E950" s="82" t="s">
        <v>47</v>
      </c>
      <c r="F950" s="83">
        <v>16</v>
      </c>
      <c r="G950" s="84">
        <v>130.91</v>
      </c>
      <c r="H950" s="85">
        <v>0.03</v>
      </c>
      <c r="I950" s="86">
        <f t="shared" si="28"/>
        <v>2031.7231999999999</v>
      </c>
      <c r="J950" s="86">
        <v>963.5</v>
      </c>
      <c r="K950" s="86">
        <f t="shared" si="29"/>
        <v>1068.2231999999999</v>
      </c>
      <c r="L950" s="87" t="s">
        <v>67</v>
      </c>
      <c r="M950" s="87" t="s">
        <v>68</v>
      </c>
      <c r="N950" s="88" t="s">
        <v>69</v>
      </c>
    </row>
    <row r="951" spans="1:14">
      <c r="A951" s="81">
        <v>46004</v>
      </c>
      <c r="B951" s="82" t="s">
        <v>1019</v>
      </c>
      <c r="C951" s="82" t="s">
        <v>36</v>
      </c>
      <c r="D951" s="82" t="s">
        <v>32</v>
      </c>
      <c r="E951" s="82" t="s">
        <v>39</v>
      </c>
      <c r="F951" s="83">
        <v>4</v>
      </c>
      <c r="G951" s="84">
        <v>451.28</v>
      </c>
      <c r="H951" s="85">
        <v>0.12</v>
      </c>
      <c r="I951" s="86">
        <f t="shared" si="28"/>
        <v>1588.5056</v>
      </c>
      <c r="J951" s="86">
        <v>1028.92</v>
      </c>
      <c r="K951" s="86">
        <f t="shared" si="29"/>
        <v>559.58559999999989</v>
      </c>
      <c r="L951" s="87" t="s">
        <v>67</v>
      </c>
      <c r="M951" s="87" t="s">
        <v>68</v>
      </c>
      <c r="N951" s="88" t="s">
        <v>71</v>
      </c>
    </row>
    <row r="952" spans="1:14">
      <c r="A952" s="81">
        <v>46004</v>
      </c>
      <c r="B952" s="82" t="s">
        <v>1020</v>
      </c>
      <c r="C952" s="82" t="s">
        <v>36</v>
      </c>
      <c r="D952" s="82" t="s">
        <v>27</v>
      </c>
      <c r="E952" s="82" t="s">
        <v>25</v>
      </c>
      <c r="F952" s="83">
        <v>3</v>
      </c>
      <c r="G952" s="84">
        <v>1351.31</v>
      </c>
      <c r="H952" s="85">
        <v>0.1</v>
      </c>
      <c r="I952" s="86">
        <f t="shared" si="28"/>
        <v>3648.5369999999998</v>
      </c>
      <c r="J952" s="86">
        <v>2756.67</v>
      </c>
      <c r="K952" s="86">
        <f t="shared" si="29"/>
        <v>891.86699999999973</v>
      </c>
      <c r="L952" s="87" t="s">
        <v>59</v>
      </c>
      <c r="M952" s="87" t="s">
        <v>64</v>
      </c>
      <c r="N952" s="88" t="s">
        <v>78</v>
      </c>
    </row>
    <row r="953" spans="1:14">
      <c r="A953" s="81">
        <v>46004</v>
      </c>
      <c r="B953" s="82" t="s">
        <v>1021</v>
      </c>
      <c r="C953" s="82" t="s">
        <v>31</v>
      </c>
      <c r="D953" s="82" t="s">
        <v>27</v>
      </c>
      <c r="E953" s="82" t="s">
        <v>25</v>
      </c>
      <c r="F953" s="83">
        <v>8</v>
      </c>
      <c r="G953" s="84">
        <v>1255.53</v>
      </c>
      <c r="H953" s="85">
        <v>0.1</v>
      </c>
      <c r="I953" s="86">
        <f t="shared" si="28"/>
        <v>9039.8160000000007</v>
      </c>
      <c r="J953" s="86">
        <v>6830.08</v>
      </c>
      <c r="K953" s="86">
        <f t="shared" si="29"/>
        <v>2209.7360000000008</v>
      </c>
      <c r="L953" s="87" t="s">
        <v>67</v>
      </c>
      <c r="M953" s="87" t="s">
        <v>64</v>
      </c>
      <c r="N953" s="88" t="s">
        <v>69</v>
      </c>
    </row>
    <row r="954" spans="1:14">
      <c r="A954" s="81">
        <v>46005</v>
      </c>
      <c r="B954" s="82" t="s">
        <v>1022</v>
      </c>
      <c r="C954" s="82" t="s">
        <v>26</v>
      </c>
      <c r="D954" s="82" t="s">
        <v>32</v>
      </c>
      <c r="E954" s="82" t="s">
        <v>42</v>
      </c>
      <c r="F954" s="83">
        <v>4</v>
      </c>
      <c r="G954" s="84">
        <v>833.26</v>
      </c>
      <c r="H954" s="85">
        <v>0.12</v>
      </c>
      <c r="I954" s="86">
        <f t="shared" si="28"/>
        <v>2933.0751999999998</v>
      </c>
      <c r="J954" s="86">
        <v>2033.15</v>
      </c>
      <c r="K954" s="86">
        <f t="shared" si="29"/>
        <v>899.92519999999968</v>
      </c>
      <c r="L954" s="87" t="s">
        <v>63</v>
      </c>
      <c r="M954" s="87" t="s">
        <v>68</v>
      </c>
      <c r="N954" s="88" t="s">
        <v>61</v>
      </c>
    </row>
    <row r="955" spans="1:14">
      <c r="A955" s="81">
        <v>46005</v>
      </c>
      <c r="B955" s="82" t="s">
        <v>1023</v>
      </c>
      <c r="C955" s="82" t="s">
        <v>31</v>
      </c>
      <c r="D955" s="82" t="s">
        <v>32</v>
      </c>
      <c r="E955" s="82" t="s">
        <v>46</v>
      </c>
      <c r="F955" s="83">
        <v>8</v>
      </c>
      <c r="G955" s="84">
        <v>103.67</v>
      </c>
      <c r="H955" s="85">
        <v>0</v>
      </c>
      <c r="I955" s="86">
        <f t="shared" si="28"/>
        <v>829.36</v>
      </c>
      <c r="J955" s="86">
        <v>398.09</v>
      </c>
      <c r="K955" s="86">
        <f t="shared" si="29"/>
        <v>431.27000000000004</v>
      </c>
      <c r="L955" s="87" t="s">
        <v>59</v>
      </c>
      <c r="M955" s="87" t="s">
        <v>64</v>
      </c>
      <c r="N955" s="88" t="s">
        <v>74</v>
      </c>
    </row>
    <row r="956" spans="1:14">
      <c r="A956" s="81">
        <v>46006</v>
      </c>
      <c r="B956" s="82" t="s">
        <v>1024</v>
      </c>
      <c r="C956" s="82" t="s">
        <v>26</v>
      </c>
      <c r="D956" s="82" t="s">
        <v>27</v>
      </c>
      <c r="E956" s="82" t="s">
        <v>25</v>
      </c>
      <c r="F956" s="83">
        <v>7</v>
      </c>
      <c r="G956" s="84">
        <v>1240.7</v>
      </c>
      <c r="H956" s="85">
        <v>0.12</v>
      </c>
      <c r="I956" s="86">
        <f t="shared" si="28"/>
        <v>7642.7119999999995</v>
      </c>
      <c r="J956" s="86">
        <v>5905.73</v>
      </c>
      <c r="K956" s="86">
        <f t="shared" si="29"/>
        <v>1736.982</v>
      </c>
      <c r="L956" s="87" t="s">
        <v>63</v>
      </c>
      <c r="M956" s="87" t="s">
        <v>64</v>
      </c>
      <c r="N956" s="88" t="s">
        <v>78</v>
      </c>
    </row>
    <row r="957" spans="1:14">
      <c r="A957" s="81">
        <v>46006</v>
      </c>
      <c r="B957" s="82" t="s">
        <v>1025</v>
      </c>
      <c r="C957" s="82" t="s">
        <v>31</v>
      </c>
      <c r="D957" s="82" t="s">
        <v>37</v>
      </c>
      <c r="E957" s="82" t="s">
        <v>48</v>
      </c>
      <c r="F957" s="83">
        <v>7</v>
      </c>
      <c r="G957" s="84">
        <v>77.400000000000006</v>
      </c>
      <c r="H957" s="85">
        <v>0.03</v>
      </c>
      <c r="I957" s="86">
        <f t="shared" si="28"/>
        <v>525.54600000000005</v>
      </c>
      <c r="J957" s="86">
        <v>227.56</v>
      </c>
      <c r="K957" s="86">
        <f t="shared" si="29"/>
        <v>297.98600000000005</v>
      </c>
      <c r="L957" s="87" t="s">
        <v>59</v>
      </c>
      <c r="M957" s="87" t="s">
        <v>60</v>
      </c>
      <c r="N957" s="88" t="s">
        <v>74</v>
      </c>
    </row>
    <row r="958" spans="1:14">
      <c r="A958" s="81">
        <v>46007</v>
      </c>
      <c r="B958" s="82" t="s">
        <v>1026</v>
      </c>
      <c r="C958" s="82" t="s">
        <v>26</v>
      </c>
      <c r="D958" s="82" t="s">
        <v>37</v>
      </c>
      <c r="E958" s="82" t="s">
        <v>47</v>
      </c>
      <c r="F958" s="83">
        <v>5</v>
      </c>
      <c r="G958" s="84">
        <v>136.94</v>
      </c>
      <c r="H958" s="85">
        <v>0.1</v>
      </c>
      <c r="I958" s="86">
        <f t="shared" si="28"/>
        <v>616.23</v>
      </c>
      <c r="J958" s="86">
        <v>314.95999999999998</v>
      </c>
      <c r="K958" s="86">
        <f t="shared" si="29"/>
        <v>301.27000000000004</v>
      </c>
      <c r="L958" s="87" t="s">
        <v>59</v>
      </c>
      <c r="M958" s="87" t="s">
        <v>60</v>
      </c>
      <c r="N958" s="88" t="s">
        <v>69</v>
      </c>
    </row>
    <row r="959" spans="1:14">
      <c r="A959" s="81">
        <v>46007</v>
      </c>
      <c r="B959" s="82" t="s">
        <v>1027</v>
      </c>
      <c r="C959" s="82" t="s">
        <v>26</v>
      </c>
      <c r="D959" s="82" t="s">
        <v>27</v>
      </c>
      <c r="E959" s="82" t="s">
        <v>35</v>
      </c>
      <c r="F959" s="83">
        <v>13</v>
      </c>
      <c r="G959" s="84">
        <v>413.23</v>
      </c>
      <c r="H959" s="85">
        <v>0.03</v>
      </c>
      <c r="I959" s="86">
        <f t="shared" si="28"/>
        <v>5210.8302999999996</v>
      </c>
      <c r="J959" s="86">
        <v>3223.19</v>
      </c>
      <c r="K959" s="86">
        <f t="shared" si="29"/>
        <v>1987.6402999999996</v>
      </c>
      <c r="L959" s="87" t="s">
        <v>63</v>
      </c>
      <c r="M959" s="87" t="s">
        <v>68</v>
      </c>
      <c r="N959" s="88" t="s">
        <v>71</v>
      </c>
    </row>
    <row r="960" spans="1:14">
      <c r="A960" s="81">
        <v>46008</v>
      </c>
      <c r="B960" s="82" t="s">
        <v>1028</v>
      </c>
      <c r="C960" s="82" t="s">
        <v>40</v>
      </c>
      <c r="D960" s="82" t="s">
        <v>37</v>
      </c>
      <c r="E960" s="82" t="s">
        <v>48</v>
      </c>
      <c r="F960" s="83">
        <v>5</v>
      </c>
      <c r="G960" s="84">
        <v>73.11</v>
      </c>
      <c r="H960" s="85">
        <v>0.08</v>
      </c>
      <c r="I960" s="86">
        <f t="shared" si="28"/>
        <v>336.30600000000004</v>
      </c>
      <c r="J960" s="86">
        <v>153.53</v>
      </c>
      <c r="K960" s="86">
        <f t="shared" si="29"/>
        <v>182.77600000000004</v>
      </c>
      <c r="L960" s="87" t="s">
        <v>67</v>
      </c>
      <c r="M960" s="87" t="s">
        <v>60</v>
      </c>
      <c r="N960" s="88" t="s">
        <v>61</v>
      </c>
    </row>
    <row r="961" spans="1:14">
      <c r="A961" s="81">
        <v>46009</v>
      </c>
      <c r="B961" s="82" t="s">
        <v>1029</v>
      </c>
      <c r="C961" s="82" t="s">
        <v>31</v>
      </c>
      <c r="D961" s="82" t="s">
        <v>37</v>
      </c>
      <c r="E961" s="82" t="s">
        <v>48</v>
      </c>
      <c r="F961" s="83">
        <v>11</v>
      </c>
      <c r="G961" s="84">
        <v>75.66</v>
      </c>
      <c r="H961" s="85">
        <v>0</v>
      </c>
      <c r="I961" s="86">
        <f t="shared" si="28"/>
        <v>832.26</v>
      </c>
      <c r="J961" s="86">
        <v>349.55</v>
      </c>
      <c r="K961" s="86">
        <f t="shared" si="29"/>
        <v>482.71</v>
      </c>
      <c r="L961" s="87" t="s">
        <v>63</v>
      </c>
      <c r="M961" s="87" t="s">
        <v>60</v>
      </c>
      <c r="N961" s="88" t="s">
        <v>69</v>
      </c>
    </row>
    <row r="962" spans="1:14">
      <c r="A962" s="81">
        <v>46009</v>
      </c>
      <c r="B962" s="82" t="s">
        <v>1030</v>
      </c>
      <c r="C962" s="82" t="s">
        <v>31</v>
      </c>
      <c r="D962" s="82" t="s">
        <v>32</v>
      </c>
      <c r="E962" s="82" t="s">
        <v>46</v>
      </c>
      <c r="F962" s="83">
        <v>2</v>
      </c>
      <c r="G962" s="84">
        <v>102.56</v>
      </c>
      <c r="H962" s="85">
        <v>0.05</v>
      </c>
      <c r="I962" s="86">
        <f t="shared" ref="I962:I1025" si="30">F962*G962*(1-H962)</f>
        <v>194.864</v>
      </c>
      <c r="J962" s="86">
        <v>98.46</v>
      </c>
      <c r="K962" s="86">
        <f t="shared" ref="K962:K1025" si="31">I962-J962</f>
        <v>96.404000000000011</v>
      </c>
      <c r="L962" s="87" t="s">
        <v>59</v>
      </c>
      <c r="M962" s="87" t="s">
        <v>64</v>
      </c>
      <c r="N962" s="88" t="s">
        <v>69</v>
      </c>
    </row>
    <row r="963" spans="1:14">
      <c r="A963" s="81">
        <v>46010</v>
      </c>
      <c r="B963" s="82" t="s">
        <v>1031</v>
      </c>
      <c r="C963" s="82" t="s">
        <v>26</v>
      </c>
      <c r="D963" s="82" t="s">
        <v>32</v>
      </c>
      <c r="E963" s="82" t="s">
        <v>42</v>
      </c>
      <c r="F963" s="83">
        <v>3</v>
      </c>
      <c r="G963" s="84">
        <v>808.35</v>
      </c>
      <c r="H963" s="85">
        <v>0.08</v>
      </c>
      <c r="I963" s="86">
        <f t="shared" si="30"/>
        <v>2231.0460000000003</v>
      </c>
      <c r="J963" s="86">
        <v>1479.28</v>
      </c>
      <c r="K963" s="86">
        <f t="shared" si="31"/>
        <v>751.7660000000003</v>
      </c>
      <c r="L963" s="87" t="s">
        <v>67</v>
      </c>
      <c r="M963" s="87" t="s">
        <v>64</v>
      </c>
      <c r="N963" s="88" t="s">
        <v>78</v>
      </c>
    </row>
    <row r="964" spans="1:14">
      <c r="A964" s="81">
        <v>46010</v>
      </c>
      <c r="B964" s="82" t="s">
        <v>1032</v>
      </c>
      <c r="C964" s="82" t="s">
        <v>31</v>
      </c>
      <c r="D964" s="82" t="s">
        <v>27</v>
      </c>
      <c r="E964" s="82" t="s">
        <v>35</v>
      </c>
      <c r="F964" s="83">
        <v>4</v>
      </c>
      <c r="G964" s="84">
        <v>404.54</v>
      </c>
      <c r="H964" s="85">
        <v>0.1</v>
      </c>
      <c r="I964" s="86">
        <f t="shared" si="30"/>
        <v>1456.3440000000001</v>
      </c>
      <c r="J964" s="86">
        <v>970.9</v>
      </c>
      <c r="K964" s="86">
        <f t="shared" si="31"/>
        <v>485.44400000000007</v>
      </c>
      <c r="L964" s="87" t="s">
        <v>63</v>
      </c>
      <c r="M964" s="87" t="s">
        <v>68</v>
      </c>
      <c r="N964" s="88" t="s">
        <v>65</v>
      </c>
    </row>
    <row r="965" spans="1:14">
      <c r="A965" s="81">
        <v>46012</v>
      </c>
      <c r="B965" s="82" t="s">
        <v>1033</v>
      </c>
      <c r="C965" s="82" t="s">
        <v>31</v>
      </c>
      <c r="D965" s="82" t="s">
        <v>37</v>
      </c>
      <c r="E965" s="82" t="s">
        <v>48</v>
      </c>
      <c r="F965" s="83">
        <v>5</v>
      </c>
      <c r="G965" s="84">
        <v>76</v>
      </c>
      <c r="H965" s="85">
        <v>0.12</v>
      </c>
      <c r="I965" s="86">
        <f t="shared" si="30"/>
        <v>334.4</v>
      </c>
      <c r="J965" s="86">
        <v>159.6</v>
      </c>
      <c r="K965" s="86">
        <f t="shared" si="31"/>
        <v>174.79999999999998</v>
      </c>
      <c r="L965" s="87" t="s">
        <v>63</v>
      </c>
      <c r="M965" s="87" t="s">
        <v>64</v>
      </c>
      <c r="N965" s="88" t="s">
        <v>69</v>
      </c>
    </row>
    <row r="966" spans="1:14">
      <c r="A966" s="81">
        <v>46014</v>
      </c>
      <c r="B966" s="82" t="s">
        <v>1034</v>
      </c>
      <c r="C966" s="82" t="s">
        <v>40</v>
      </c>
      <c r="D966" s="82" t="s">
        <v>32</v>
      </c>
      <c r="E966" s="82" t="s">
        <v>46</v>
      </c>
      <c r="F966" s="83">
        <v>6</v>
      </c>
      <c r="G966" s="84">
        <v>99.84</v>
      </c>
      <c r="H966" s="85">
        <v>0.03</v>
      </c>
      <c r="I966" s="86">
        <f t="shared" si="30"/>
        <v>581.0687999999999</v>
      </c>
      <c r="J966" s="86">
        <v>287.54000000000002</v>
      </c>
      <c r="K966" s="86">
        <f t="shared" si="31"/>
        <v>293.52879999999988</v>
      </c>
      <c r="L966" s="87" t="s">
        <v>63</v>
      </c>
      <c r="M966" s="87" t="s">
        <v>60</v>
      </c>
      <c r="N966" s="88" t="s">
        <v>74</v>
      </c>
    </row>
    <row r="967" spans="1:14">
      <c r="A967" s="81">
        <v>46014</v>
      </c>
      <c r="B967" s="82" t="s">
        <v>1035</v>
      </c>
      <c r="C967" s="82" t="s">
        <v>26</v>
      </c>
      <c r="D967" s="82" t="s">
        <v>32</v>
      </c>
      <c r="E967" s="82" t="s">
        <v>46</v>
      </c>
      <c r="F967" s="83">
        <v>6</v>
      </c>
      <c r="G967" s="84">
        <v>108.5</v>
      </c>
      <c r="H967" s="85">
        <v>0.1</v>
      </c>
      <c r="I967" s="86">
        <f t="shared" si="30"/>
        <v>585.9</v>
      </c>
      <c r="J967" s="86">
        <v>312.48</v>
      </c>
      <c r="K967" s="86">
        <f t="shared" si="31"/>
        <v>273.41999999999996</v>
      </c>
      <c r="L967" s="87" t="s">
        <v>67</v>
      </c>
      <c r="M967" s="87" t="s">
        <v>68</v>
      </c>
      <c r="N967" s="88" t="s">
        <v>65</v>
      </c>
    </row>
    <row r="968" spans="1:14">
      <c r="A968" s="81">
        <v>46016</v>
      </c>
      <c r="B968" s="82" t="s">
        <v>1036</v>
      </c>
      <c r="C968" s="82" t="s">
        <v>40</v>
      </c>
      <c r="D968" s="82" t="s">
        <v>32</v>
      </c>
      <c r="E968" s="82" t="s">
        <v>39</v>
      </c>
      <c r="F968" s="83">
        <v>5</v>
      </c>
      <c r="G968" s="84">
        <v>494.66</v>
      </c>
      <c r="H968" s="85">
        <v>0.12</v>
      </c>
      <c r="I968" s="86">
        <f t="shared" si="30"/>
        <v>2176.5040000000004</v>
      </c>
      <c r="J968" s="86">
        <v>1409.78</v>
      </c>
      <c r="K968" s="86">
        <f t="shared" si="31"/>
        <v>766.72400000000039</v>
      </c>
      <c r="L968" s="87" t="s">
        <v>67</v>
      </c>
      <c r="M968" s="87" t="s">
        <v>60</v>
      </c>
      <c r="N968" s="88" t="s">
        <v>69</v>
      </c>
    </row>
    <row r="969" spans="1:14">
      <c r="A969" s="81">
        <v>46017</v>
      </c>
      <c r="B969" s="82" t="s">
        <v>1037</v>
      </c>
      <c r="C969" s="82" t="s">
        <v>31</v>
      </c>
      <c r="D969" s="82" t="s">
        <v>27</v>
      </c>
      <c r="E969" s="82" t="s">
        <v>30</v>
      </c>
      <c r="F969" s="83">
        <v>7</v>
      </c>
      <c r="G969" s="84">
        <v>649.16999999999996</v>
      </c>
      <c r="H969" s="85">
        <v>0.05</v>
      </c>
      <c r="I969" s="86">
        <f t="shared" si="30"/>
        <v>4316.9804999999997</v>
      </c>
      <c r="J969" s="86">
        <v>2908.28</v>
      </c>
      <c r="K969" s="86">
        <f t="shared" si="31"/>
        <v>1408.7004999999995</v>
      </c>
      <c r="L969" s="87" t="s">
        <v>63</v>
      </c>
      <c r="M969" s="87" t="s">
        <v>64</v>
      </c>
      <c r="N969" s="88" t="s">
        <v>61</v>
      </c>
    </row>
    <row r="970" spans="1:14">
      <c r="A970" s="81">
        <v>46017</v>
      </c>
      <c r="B970" s="82" t="s">
        <v>1038</v>
      </c>
      <c r="C970" s="82" t="s">
        <v>26</v>
      </c>
      <c r="D970" s="82" t="s">
        <v>37</v>
      </c>
      <c r="E970" s="82" t="s">
        <v>48</v>
      </c>
      <c r="F970" s="83">
        <v>5</v>
      </c>
      <c r="G970" s="84">
        <v>76.260000000000005</v>
      </c>
      <c r="H970" s="85">
        <v>0.1</v>
      </c>
      <c r="I970" s="86">
        <f t="shared" si="30"/>
        <v>343.17</v>
      </c>
      <c r="J970" s="86">
        <v>160.15</v>
      </c>
      <c r="K970" s="86">
        <f t="shared" si="31"/>
        <v>183.02</v>
      </c>
      <c r="L970" s="87" t="s">
        <v>59</v>
      </c>
      <c r="M970" s="87" t="s">
        <v>68</v>
      </c>
      <c r="N970" s="88" t="s">
        <v>71</v>
      </c>
    </row>
    <row r="971" spans="1:14">
      <c r="A971" s="81">
        <v>46018</v>
      </c>
      <c r="B971" s="82" t="s">
        <v>1039</v>
      </c>
      <c r="C971" s="82" t="s">
        <v>36</v>
      </c>
      <c r="D971" s="82" t="s">
        <v>32</v>
      </c>
      <c r="E971" s="82" t="s">
        <v>46</v>
      </c>
      <c r="F971" s="83">
        <v>9</v>
      </c>
      <c r="G971" s="84">
        <v>102.2</v>
      </c>
      <c r="H971" s="85">
        <v>0.1</v>
      </c>
      <c r="I971" s="86">
        <f t="shared" si="30"/>
        <v>827.82</v>
      </c>
      <c r="J971" s="86">
        <v>441.5</v>
      </c>
      <c r="K971" s="86">
        <f t="shared" si="31"/>
        <v>386.32000000000005</v>
      </c>
      <c r="L971" s="87" t="s">
        <v>63</v>
      </c>
      <c r="M971" s="87" t="s">
        <v>64</v>
      </c>
      <c r="N971" s="88" t="s">
        <v>69</v>
      </c>
    </row>
    <row r="972" spans="1:14">
      <c r="A972" s="81">
        <v>46018</v>
      </c>
      <c r="B972" s="82" t="s">
        <v>1040</v>
      </c>
      <c r="C972" s="82" t="s">
        <v>26</v>
      </c>
      <c r="D972" s="82" t="s">
        <v>32</v>
      </c>
      <c r="E972" s="82" t="s">
        <v>39</v>
      </c>
      <c r="F972" s="83">
        <v>8</v>
      </c>
      <c r="G972" s="84">
        <v>480.7</v>
      </c>
      <c r="H972" s="85">
        <v>0.12</v>
      </c>
      <c r="I972" s="86">
        <f t="shared" si="30"/>
        <v>3384.1280000000002</v>
      </c>
      <c r="J972" s="86">
        <v>2191.9899999999998</v>
      </c>
      <c r="K972" s="86">
        <f t="shared" si="31"/>
        <v>1192.1380000000004</v>
      </c>
      <c r="L972" s="87" t="s">
        <v>59</v>
      </c>
      <c r="M972" s="87" t="s">
        <v>64</v>
      </c>
      <c r="N972" s="88" t="s">
        <v>69</v>
      </c>
    </row>
    <row r="973" spans="1:14">
      <c r="A973" s="81">
        <v>46019</v>
      </c>
      <c r="B973" s="82" t="s">
        <v>1041</v>
      </c>
      <c r="C973" s="82" t="s">
        <v>26</v>
      </c>
      <c r="D973" s="82" t="s">
        <v>27</v>
      </c>
      <c r="E973" s="82" t="s">
        <v>35</v>
      </c>
      <c r="F973" s="83">
        <v>6</v>
      </c>
      <c r="G973" s="84">
        <v>410.39</v>
      </c>
      <c r="H973" s="85">
        <v>0.08</v>
      </c>
      <c r="I973" s="86">
        <f t="shared" si="30"/>
        <v>2265.3528000000001</v>
      </c>
      <c r="J973" s="86">
        <v>1477.4</v>
      </c>
      <c r="K973" s="86">
        <f t="shared" si="31"/>
        <v>787.95280000000002</v>
      </c>
      <c r="L973" s="87" t="s">
        <v>67</v>
      </c>
      <c r="M973" s="87" t="s">
        <v>68</v>
      </c>
      <c r="N973" s="88" t="s">
        <v>61</v>
      </c>
    </row>
    <row r="974" spans="1:14">
      <c r="A974" s="81">
        <v>46019</v>
      </c>
      <c r="B974" s="82" t="s">
        <v>1042</v>
      </c>
      <c r="C974" s="82" t="s">
        <v>40</v>
      </c>
      <c r="D974" s="82" t="s">
        <v>27</v>
      </c>
      <c r="E974" s="82" t="s">
        <v>30</v>
      </c>
      <c r="F974" s="83">
        <v>11</v>
      </c>
      <c r="G974" s="84">
        <v>663.96</v>
      </c>
      <c r="H974" s="85">
        <v>0</v>
      </c>
      <c r="I974" s="86">
        <f t="shared" si="30"/>
        <v>7303.56</v>
      </c>
      <c r="J974" s="86">
        <v>4674.28</v>
      </c>
      <c r="K974" s="86">
        <f t="shared" si="31"/>
        <v>2629.2800000000007</v>
      </c>
      <c r="L974" s="87" t="s">
        <v>67</v>
      </c>
      <c r="M974" s="87" t="s">
        <v>60</v>
      </c>
      <c r="N974" s="88" t="s">
        <v>74</v>
      </c>
    </row>
    <row r="975" spans="1:14">
      <c r="A975" s="81">
        <v>46021</v>
      </c>
      <c r="B975" s="82" t="s">
        <v>1043</v>
      </c>
      <c r="C975" s="82" t="s">
        <v>36</v>
      </c>
      <c r="D975" s="82" t="s">
        <v>37</v>
      </c>
      <c r="E975" s="82" t="s">
        <v>47</v>
      </c>
      <c r="F975" s="83">
        <v>10</v>
      </c>
      <c r="G975" s="84">
        <v>136.81</v>
      </c>
      <c r="H975" s="85">
        <v>0.03</v>
      </c>
      <c r="I975" s="86">
        <f t="shared" si="30"/>
        <v>1327.0569999999998</v>
      </c>
      <c r="J975" s="86">
        <v>629.33000000000004</v>
      </c>
      <c r="K975" s="86">
        <f t="shared" si="31"/>
        <v>697.72699999999975</v>
      </c>
      <c r="L975" s="87" t="s">
        <v>67</v>
      </c>
      <c r="M975" s="87" t="s">
        <v>68</v>
      </c>
      <c r="N975" s="88" t="s">
        <v>71</v>
      </c>
    </row>
    <row r="976" spans="1:14">
      <c r="A976" s="81">
        <v>46021</v>
      </c>
      <c r="B976" s="82" t="s">
        <v>1044</v>
      </c>
      <c r="C976" s="82" t="s">
        <v>26</v>
      </c>
      <c r="D976" s="82" t="s">
        <v>32</v>
      </c>
      <c r="E976" s="82" t="s">
        <v>42</v>
      </c>
      <c r="F976" s="83">
        <v>4</v>
      </c>
      <c r="G976" s="84">
        <v>840.99</v>
      </c>
      <c r="H976" s="85">
        <v>0.03</v>
      </c>
      <c r="I976" s="86">
        <f t="shared" si="30"/>
        <v>3263.0412000000001</v>
      </c>
      <c r="J976" s="86">
        <v>2052.02</v>
      </c>
      <c r="K976" s="86">
        <f t="shared" si="31"/>
        <v>1211.0212000000001</v>
      </c>
      <c r="L976" s="87" t="s">
        <v>59</v>
      </c>
      <c r="M976" s="87" t="s">
        <v>60</v>
      </c>
      <c r="N976" s="88" t="s">
        <v>71</v>
      </c>
    </row>
    <row r="977" spans="1:14">
      <c r="A977" s="81">
        <v>46024</v>
      </c>
      <c r="B977" s="82" t="s">
        <v>1045</v>
      </c>
      <c r="C977" s="82" t="s">
        <v>31</v>
      </c>
      <c r="D977" s="82" t="s">
        <v>27</v>
      </c>
      <c r="E977" s="82" t="s">
        <v>30</v>
      </c>
      <c r="F977" s="83">
        <v>11</v>
      </c>
      <c r="G977" s="84">
        <v>726.98</v>
      </c>
      <c r="H977" s="85">
        <v>0</v>
      </c>
      <c r="I977" s="86">
        <f t="shared" si="30"/>
        <v>7996.7800000000007</v>
      </c>
      <c r="J977" s="86">
        <v>5117.9399999999996</v>
      </c>
      <c r="K977" s="86">
        <f t="shared" si="31"/>
        <v>2878.8400000000011</v>
      </c>
      <c r="L977" s="87" t="s">
        <v>67</v>
      </c>
      <c r="M977" s="87" t="s">
        <v>68</v>
      </c>
      <c r="N977" s="88" t="s">
        <v>74</v>
      </c>
    </row>
    <row r="978" spans="1:14">
      <c r="A978" s="81">
        <v>46024</v>
      </c>
      <c r="B978" s="82" t="s">
        <v>1046</v>
      </c>
      <c r="C978" s="82" t="s">
        <v>36</v>
      </c>
      <c r="D978" s="82" t="s">
        <v>27</v>
      </c>
      <c r="E978" s="82" t="s">
        <v>35</v>
      </c>
      <c r="F978" s="83">
        <v>1</v>
      </c>
      <c r="G978" s="84">
        <v>414.86</v>
      </c>
      <c r="H978" s="85">
        <v>0.03</v>
      </c>
      <c r="I978" s="86">
        <f t="shared" si="30"/>
        <v>402.41419999999999</v>
      </c>
      <c r="J978" s="86">
        <v>248.92</v>
      </c>
      <c r="K978" s="86">
        <f t="shared" si="31"/>
        <v>153.49420000000001</v>
      </c>
      <c r="L978" s="87" t="s">
        <v>67</v>
      </c>
      <c r="M978" s="87" t="s">
        <v>60</v>
      </c>
      <c r="N978" s="88" t="s">
        <v>74</v>
      </c>
    </row>
    <row r="979" spans="1:14">
      <c r="A979" s="81">
        <v>46025</v>
      </c>
      <c r="B979" s="82" t="s">
        <v>1047</v>
      </c>
      <c r="C979" s="82" t="s">
        <v>36</v>
      </c>
      <c r="D979" s="82" t="s">
        <v>37</v>
      </c>
      <c r="E979" s="82" t="s">
        <v>47</v>
      </c>
      <c r="F979" s="83">
        <v>6</v>
      </c>
      <c r="G979" s="84">
        <v>141.94</v>
      </c>
      <c r="H979" s="85">
        <v>0.03</v>
      </c>
      <c r="I979" s="86">
        <f t="shared" si="30"/>
        <v>826.09079999999994</v>
      </c>
      <c r="J979" s="86">
        <v>391.75</v>
      </c>
      <c r="K979" s="86">
        <f t="shared" si="31"/>
        <v>434.34079999999994</v>
      </c>
      <c r="L979" s="87" t="s">
        <v>67</v>
      </c>
      <c r="M979" s="87" t="s">
        <v>60</v>
      </c>
      <c r="N979" s="88" t="s">
        <v>78</v>
      </c>
    </row>
    <row r="980" spans="1:14">
      <c r="A980" s="81">
        <v>46025</v>
      </c>
      <c r="B980" s="82" t="s">
        <v>1048</v>
      </c>
      <c r="C980" s="82" t="s">
        <v>40</v>
      </c>
      <c r="D980" s="82" t="s">
        <v>37</v>
      </c>
      <c r="E980" s="82" t="s">
        <v>48</v>
      </c>
      <c r="F980" s="83">
        <v>4</v>
      </c>
      <c r="G980" s="84">
        <v>80.5</v>
      </c>
      <c r="H980" s="85">
        <v>0.1</v>
      </c>
      <c r="I980" s="86">
        <f t="shared" si="30"/>
        <v>289.8</v>
      </c>
      <c r="J980" s="86">
        <v>135.24</v>
      </c>
      <c r="K980" s="86">
        <f t="shared" si="31"/>
        <v>154.56</v>
      </c>
      <c r="L980" s="87" t="s">
        <v>63</v>
      </c>
      <c r="M980" s="87" t="s">
        <v>60</v>
      </c>
      <c r="N980" s="88" t="s">
        <v>78</v>
      </c>
    </row>
    <row r="981" spans="1:14">
      <c r="A981" s="81">
        <v>46026</v>
      </c>
      <c r="B981" s="82" t="s">
        <v>1049</v>
      </c>
      <c r="C981" s="82" t="s">
        <v>26</v>
      </c>
      <c r="D981" s="82" t="s">
        <v>27</v>
      </c>
      <c r="E981" s="82" t="s">
        <v>25</v>
      </c>
      <c r="F981" s="83">
        <v>4</v>
      </c>
      <c r="G981" s="84">
        <v>1386.44</v>
      </c>
      <c r="H981" s="85">
        <v>0</v>
      </c>
      <c r="I981" s="86">
        <f t="shared" si="30"/>
        <v>5545.76</v>
      </c>
      <c r="J981" s="86">
        <v>3771.12</v>
      </c>
      <c r="K981" s="86">
        <f t="shared" si="31"/>
        <v>1774.6400000000003</v>
      </c>
      <c r="L981" s="87" t="s">
        <v>67</v>
      </c>
      <c r="M981" s="87" t="s">
        <v>68</v>
      </c>
      <c r="N981" s="88" t="s">
        <v>74</v>
      </c>
    </row>
    <row r="982" spans="1:14">
      <c r="A982" s="81">
        <v>46026</v>
      </c>
      <c r="B982" s="82" t="s">
        <v>1050</v>
      </c>
      <c r="C982" s="82" t="s">
        <v>31</v>
      </c>
      <c r="D982" s="82" t="s">
        <v>37</v>
      </c>
      <c r="E982" s="82" t="s">
        <v>48</v>
      </c>
      <c r="F982" s="83">
        <v>6</v>
      </c>
      <c r="G982" s="84">
        <v>80.760000000000005</v>
      </c>
      <c r="H982" s="85">
        <v>0.05</v>
      </c>
      <c r="I982" s="86">
        <f t="shared" si="30"/>
        <v>460.33200000000005</v>
      </c>
      <c r="J982" s="86">
        <v>203.52</v>
      </c>
      <c r="K982" s="86">
        <f t="shared" si="31"/>
        <v>256.81200000000001</v>
      </c>
      <c r="L982" s="87" t="s">
        <v>67</v>
      </c>
      <c r="M982" s="87" t="s">
        <v>60</v>
      </c>
      <c r="N982" s="88" t="s">
        <v>71</v>
      </c>
    </row>
    <row r="983" spans="1:14">
      <c r="A983" s="81">
        <v>46027</v>
      </c>
      <c r="B983" s="82" t="s">
        <v>1051</v>
      </c>
      <c r="C983" s="82" t="s">
        <v>40</v>
      </c>
      <c r="D983" s="82" t="s">
        <v>27</v>
      </c>
      <c r="E983" s="82" t="s">
        <v>30</v>
      </c>
      <c r="F983" s="83">
        <v>6</v>
      </c>
      <c r="G983" s="84">
        <v>729.35</v>
      </c>
      <c r="H983" s="85">
        <v>0.03</v>
      </c>
      <c r="I983" s="86">
        <f t="shared" si="30"/>
        <v>4244.817</v>
      </c>
      <c r="J983" s="86">
        <v>2800.7</v>
      </c>
      <c r="K983" s="86">
        <f t="shared" si="31"/>
        <v>1444.1170000000002</v>
      </c>
      <c r="L983" s="87" t="s">
        <v>63</v>
      </c>
      <c r="M983" s="87" t="s">
        <v>64</v>
      </c>
      <c r="N983" s="88" t="s">
        <v>61</v>
      </c>
    </row>
    <row r="984" spans="1:14">
      <c r="A984" s="81">
        <v>46028</v>
      </c>
      <c r="B984" s="82" t="s">
        <v>1052</v>
      </c>
      <c r="C984" s="82" t="s">
        <v>31</v>
      </c>
      <c r="D984" s="82" t="s">
        <v>27</v>
      </c>
      <c r="E984" s="82" t="s">
        <v>30</v>
      </c>
      <c r="F984" s="83">
        <v>2</v>
      </c>
      <c r="G984" s="84">
        <v>773.4</v>
      </c>
      <c r="H984" s="85">
        <v>0.12</v>
      </c>
      <c r="I984" s="86">
        <f t="shared" si="30"/>
        <v>1361.184</v>
      </c>
      <c r="J984" s="86">
        <v>989.95</v>
      </c>
      <c r="K984" s="86">
        <f t="shared" si="31"/>
        <v>371.23399999999992</v>
      </c>
      <c r="L984" s="87" t="s">
        <v>59</v>
      </c>
      <c r="M984" s="87" t="s">
        <v>68</v>
      </c>
      <c r="N984" s="88" t="s">
        <v>71</v>
      </c>
    </row>
    <row r="985" spans="1:14">
      <c r="A985" s="81">
        <v>46029</v>
      </c>
      <c r="B985" s="82" t="s">
        <v>1053</v>
      </c>
      <c r="C985" s="82" t="s">
        <v>31</v>
      </c>
      <c r="D985" s="82" t="s">
        <v>27</v>
      </c>
      <c r="E985" s="82" t="s">
        <v>30</v>
      </c>
      <c r="F985" s="83">
        <v>6</v>
      </c>
      <c r="G985" s="84">
        <v>751.87</v>
      </c>
      <c r="H985" s="85">
        <v>0</v>
      </c>
      <c r="I985" s="86">
        <f t="shared" si="30"/>
        <v>4511.22</v>
      </c>
      <c r="J985" s="86">
        <v>2887.18</v>
      </c>
      <c r="K985" s="86">
        <f t="shared" si="31"/>
        <v>1624.0400000000004</v>
      </c>
      <c r="L985" s="87" t="s">
        <v>59</v>
      </c>
      <c r="M985" s="87" t="s">
        <v>64</v>
      </c>
      <c r="N985" s="88" t="s">
        <v>69</v>
      </c>
    </row>
    <row r="986" spans="1:14">
      <c r="A986" s="81">
        <v>46033</v>
      </c>
      <c r="B986" s="82" t="s">
        <v>1054</v>
      </c>
      <c r="C986" s="82" t="s">
        <v>40</v>
      </c>
      <c r="D986" s="82" t="s">
        <v>32</v>
      </c>
      <c r="E986" s="82" t="s">
        <v>42</v>
      </c>
      <c r="F986" s="83">
        <v>3</v>
      </c>
      <c r="G986" s="84">
        <v>877.19</v>
      </c>
      <c r="H986" s="85">
        <v>0</v>
      </c>
      <c r="I986" s="86">
        <f t="shared" si="30"/>
        <v>2631.57</v>
      </c>
      <c r="J986" s="86">
        <v>1605.26</v>
      </c>
      <c r="K986" s="86">
        <f t="shared" si="31"/>
        <v>1026.3100000000002</v>
      </c>
      <c r="L986" s="87" t="s">
        <v>59</v>
      </c>
      <c r="M986" s="87" t="s">
        <v>60</v>
      </c>
      <c r="N986" s="88" t="s">
        <v>78</v>
      </c>
    </row>
    <row r="987" spans="1:14">
      <c r="A987" s="81">
        <v>46034</v>
      </c>
      <c r="B987" s="82" t="s">
        <v>1055</v>
      </c>
      <c r="C987" s="82" t="s">
        <v>26</v>
      </c>
      <c r="D987" s="82" t="s">
        <v>32</v>
      </c>
      <c r="E987" s="82" t="s">
        <v>46</v>
      </c>
      <c r="F987" s="83">
        <v>4</v>
      </c>
      <c r="G987" s="84">
        <v>109.33</v>
      </c>
      <c r="H987" s="85">
        <v>0.1</v>
      </c>
      <c r="I987" s="86">
        <f t="shared" si="30"/>
        <v>393.58800000000002</v>
      </c>
      <c r="J987" s="86">
        <v>209.91</v>
      </c>
      <c r="K987" s="86">
        <f t="shared" si="31"/>
        <v>183.67800000000003</v>
      </c>
      <c r="L987" s="87" t="s">
        <v>59</v>
      </c>
      <c r="M987" s="87" t="s">
        <v>68</v>
      </c>
      <c r="N987" s="88" t="s">
        <v>65</v>
      </c>
    </row>
    <row r="988" spans="1:14">
      <c r="A988" s="81">
        <v>46034</v>
      </c>
      <c r="B988" s="82" t="s">
        <v>1056</v>
      </c>
      <c r="C988" s="82" t="s">
        <v>26</v>
      </c>
      <c r="D988" s="82" t="s">
        <v>37</v>
      </c>
      <c r="E988" s="82" t="s">
        <v>47</v>
      </c>
      <c r="F988" s="83">
        <v>2</v>
      </c>
      <c r="G988" s="84">
        <v>147.99</v>
      </c>
      <c r="H988" s="85">
        <v>0.08</v>
      </c>
      <c r="I988" s="86">
        <f t="shared" si="30"/>
        <v>272.30160000000001</v>
      </c>
      <c r="J988" s="86">
        <v>136.15</v>
      </c>
      <c r="K988" s="86">
        <f t="shared" si="31"/>
        <v>136.1516</v>
      </c>
      <c r="L988" s="87" t="s">
        <v>63</v>
      </c>
      <c r="M988" s="87" t="s">
        <v>60</v>
      </c>
      <c r="N988" s="88" t="s">
        <v>74</v>
      </c>
    </row>
    <row r="989" spans="1:14">
      <c r="A989" s="81">
        <v>46035</v>
      </c>
      <c r="B989" s="82" t="s">
        <v>1057</v>
      </c>
      <c r="C989" s="82" t="s">
        <v>31</v>
      </c>
      <c r="D989" s="82" t="s">
        <v>37</v>
      </c>
      <c r="E989" s="82" t="s">
        <v>47</v>
      </c>
      <c r="F989" s="83">
        <v>10</v>
      </c>
      <c r="G989" s="84">
        <v>145.15</v>
      </c>
      <c r="H989" s="85">
        <v>0.05</v>
      </c>
      <c r="I989" s="86">
        <f t="shared" si="30"/>
        <v>1378.925</v>
      </c>
      <c r="J989" s="86">
        <v>667.69</v>
      </c>
      <c r="K989" s="86">
        <f t="shared" si="31"/>
        <v>711.2349999999999</v>
      </c>
      <c r="L989" s="87" t="s">
        <v>67</v>
      </c>
      <c r="M989" s="87" t="s">
        <v>68</v>
      </c>
      <c r="N989" s="88" t="s">
        <v>71</v>
      </c>
    </row>
    <row r="990" spans="1:14">
      <c r="A990" s="81">
        <v>46035</v>
      </c>
      <c r="B990" s="82" t="s">
        <v>1058</v>
      </c>
      <c r="C990" s="82" t="s">
        <v>40</v>
      </c>
      <c r="D990" s="82" t="s">
        <v>32</v>
      </c>
      <c r="E990" s="82" t="s">
        <v>42</v>
      </c>
      <c r="F990" s="83">
        <v>3</v>
      </c>
      <c r="G990" s="84">
        <v>908.79</v>
      </c>
      <c r="H990" s="85">
        <v>0</v>
      </c>
      <c r="I990" s="86">
        <f t="shared" si="30"/>
        <v>2726.37</v>
      </c>
      <c r="J990" s="86">
        <v>1663.09</v>
      </c>
      <c r="K990" s="86">
        <f t="shared" si="31"/>
        <v>1063.28</v>
      </c>
      <c r="L990" s="87" t="s">
        <v>63</v>
      </c>
      <c r="M990" s="87" t="s">
        <v>68</v>
      </c>
      <c r="N990" s="88" t="s">
        <v>78</v>
      </c>
    </row>
    <row r="991" spans="1:14">
      <c r="A991" s="81">
        <v>46038</v>
      </c>
      <c r="B991" s="82" t="s">
        <v>1059</v>
      </c>
      <c r="C991" s="82" t="s">
        <v>36</v>
      </c>
      <c r="D991" s="82" t="s">
        <v>32</v>
      </c>
      <c r="E991" s="82" t="s">
        <v>42</v>
      </c>
      <c r="F991" s="83">
        <v>9</v>
      </c>
      <c r="G991" s="84">
        <v>948.5</v>
      </c>
      <c r="H991" s="85">
        <v>0.08</v>
      </c>
      <c r="I991" s="86">
        <f t="shared" si="30"/>
        <v>7853.58</v>
      </c>
      <c r="J991" s="86">
        <v>5207.2700000000004</v>
      </c>
      <c r="K991" s="86">
        <f t="shared" si="31"/>
        <v>2646.3099999999995</v>
      </c>
      <c r="L991" s="87" t="s">
        <v>63</v>
      </c>
      <c r="M991" s="87" t="s">
        <v>68</v>
      </c>
      <c r="N991" s="88" t="s">
        <v>69</v>
      </c>
    </row>
    <row r="992" spans="1:14">
      <c r="A992" s="81">
        <v>46038</v>
      </c>
      <c r="B992" s="82" t="s">
        <v>1060</v>
      </c>
      <c r="C992" s="82" t="s">
        <v>26</v>
      </c>
      <c r="D992" s="82" t="s">
        <v>32</v>
      </c>
      <c r="E992" s="82" t="s">
        <v>42</v>
      </c>
      <c r="F992" s="83">
        <v>10</v>
      </c>
      <c r="G992" s="84">
        <v>917.19</v>
      </c>
      <c r="H992" s="85">
        <v>0.1</v>
      </c>
      <c r="I992" s="86">
        <f t="shared" si="30"/>
        <v>8254.7100000000009</v>
      </c>
      <c r="J992" s="86">
        <v>5594.86</v>
      </c>
      <c r="K992" s="86">
        <f t="shared" si="31"/>
        <v>2659.8500000000013</v>
      </c>
      <c r="L992" s="87" t="s">
        <v>67</v>
      </c>
      <c r="M992" s="87" t="s">
        <v>68</v>
      </c>
      <c r="N992" s="88" t="s">
        <v>74</v>
      </c>
    </row>
    <row r="993" spans="1:14">
      <c r="A993" s="81">
        <v>46040</v>
      </c>
      <c r="B993" s="82" t="s">
        <v>1061</v>
      </c>
      <c r="C993" s="82" t="s">
        <v>40</v>
      </c>
      <c r="D993" s="82" t="s">
        <v>37</v>
      </c>
      <c r="E993" s="82" t="s">
        <v>48</v>
      </c>
      <c r="F993" s="83">
        <v>1</v>
      </c>
      <c r="G993" s="84">
        <v>80.23</v>
      </c>
      <c r="H993" s="85">
        <v>0.12</v>
      </c>
      <c r="I993" s="86">
        <f t="shared" si="30"/>
        <v>70.602400000000003</v>
      </c>
      <c r="J993" s="86">
        <v>33.700000000000003</v>
      </c>
      <c r="K993" s="86">
        <f t="shared" si="31"/>
        <v>36.9024</v>
      </c>
      <c r="L993" s="87" t="s">
        <v>59</v>
      </c>
      <c r="M993" s="87" t="s">
        <v>60</v>
      </c>
      <c r="N993" s="88" t="s">
        <v>71</v>
      </c>
    </row>
    <row r="994" spans="1:14">
      <c r="A994" s="81">
        <v>46041</v>
      </c>
      <c r="B994" s="82" t="s">
        <v>1062</v>
      </c>
      <c r="C994" s="82" t="s">
        <v>31</v>
      </c>
      <c r="D994" s="82" t="s">
        <v>27</v>
      </c>
      <c r="E994" s="82" t="s">
        <v>35</v>
      </c>
      <c r="F994" s="83">
        <v>4</v>
      </c>
      <c r="G994" s="84">
        <v>443.45</v>
      </c>
      <c r="H994" s="85">
        <v>0.1</v>
      </c>
      <c r="I994" s="86">
        <f t="shared" si="30"/>
        <v>1596.42</v>
      </c>
      <c r="J994" s="86">
        <v>1064.28</v>
      </c>
      <c r="K994" s="86">
        <f t="shared" si="31"/>
        <v>532.1400000000001</v>
      </c>
      <c r="L994" s="87" t="s">
        <v>59</v>
      </c>
      <c r="M994" s="87" t="s">
        <v>64</v>
      </c>
      <c r="N994" s="88" t="s">
        <v>71</v>
      </c>
    </row>
    <row r="995" spans="1:14">
      <c r="A995" s="81">
        <v>46043</v>
      </c>
      <c r="B995" s="82" t="s">
        <v>1063</v>
      </c>
      <c r="C995" s="82" t="s">
        <v>40</v>
      </c>
      <c r="D995" s="82" t="s">
        <v>27</v>
      </c>
      <c r="E995" s="82" t="s">
        <v>25</v>
      </c>
      <c r="F995" s="83">
        <v>12</v>
      </c>
      <c r="G995" s="84">
        <v>1415.24</v>
      </c>
      <c r="H995" s="85">
        <v>0</v>
      </c>
      <c r="I995" s="86">
        <f t="shared" si="30"/>
        <v>16982.88</v>
      </c>
      <c r="J995" s="86">
        <v>11548.36</v>
      </c>
      <c r="K995" s="86">
        <f t="shared" si="31"/>
        <v>5434.52</v>
      </c>
      <c r="L995" s="87" t="s">
        <v>67</v>
      </c>
      <c r="M995" s="87" t="s">
        <v>68</v>
      </c>
      <c r="N995" s="88" t="s">
        <v>61</v>
      </c>
    </row>
    <row r="996" spans="1:14">
      <c r="A996" s="81">
        <v>46043</v>
      </c>
      <c r="B996" s="82" t="s">
        <v>1064</v>
      </c>
      <c r="C996" s="82" t="s">
        <v>40</v>
      </c>
      <c r="D996" s="82" t="s">
        <v>27</v>
      </c>
      <c r="E996" s="82" t="s">
        <v>25</v>
      </c>
      <c r="F996" s="83">
        <v>5</v>
      </c>
      <c r="G996" s="84">
        <v>1420.88</v>
      </c>
      <c r="H996" s="85">
        <v>0.08</v>
      </c>
      <c r="I996" s="86">
        <f t="shared" si="30"/>
        <v>6536.0480000000007</v>
      </c>
      <c r="J996" s="86">
        <v>4830.99</v>
      </c>
      <c r="K996" s="86">
        <f t="shared" si="31"/>
        <v>1705.0580000000009</v>
      </c>
      <c r="L996" s="87" t="s">
        <v>67</v>
      </c>
      <c r="M996" s="87" t="s">
        <v>64</v>
      </c>
      <c r="N996" s="88" t="s">
        <v>69</v>
      </c>
    </row>
    <row r="997" spans="1:14">
      <c r="A997" s="81">
        <v>46044</v>
      </c>
      <c r="B997" s="82" t="s">
        <v>1065</v>
      </c>
      <c r="C997" s="82" t="s">
        <v>36</v>
      </c>
      <c r="D997" s="82" t="s">
        <v>32</v>
      </c>
      <c r="E997" s="82" t="s">
        <v>39</v>
      </c>
      <c r="F997" s="83">
        <v>2</v>
      </c>
      <c r="G997" s="84">
        <v>494.2</v>
      </c>
      <c r="H997" s="85">
        <v>0.05</v>
      </c>
      <c r="I997" s="86">
        <f t="shared" si="30"/>
        <v>938.9799999999999</v>
      </c>
      <c r="J997" s="86">
        <v>563.39</v>
      </c>
      <c r="K997" s="86">
        <f t="shared" si="31"/>
        <v>375.58999999999992</v>
      </c>
      <c r="L997" s="87" t="s">
        <v>67</v>
      </c>
      <c r="M997" s="87" t="s">
        <v>64</v>
      </c>
      <c r="N997" s="88" t="s">
        <v>71</v>
      </c>
    </row>
    <row r="998" spans="1:14">
      <c r="A998" s="81">
        <v>46045</v>
      </c>
      <c r="B998" s="82" t="s">
        <v>1066</v>
      </c>
      <c r="C998" s="82" t="s">
        <v>31</v>
      </c>
      <c r="D998" s="82" t="s">
        <v>27</v>
      </c>
      <c r="E998" s="82" t="s">
        <v>25</v>
      </c>
      <c r="F998" s="83">
        <v>7</v>
      </c>
      <c r="G998" s="84">
        <v>1471.29</v>
      </c>
      <c r="H998" s="85">
        <v>0.12</v>
      </c>
      <c r="I998" s="86">
        <f t="shared" si="30"/>
        <v>9063.1463999999996</v>
      </c>
      <c r="J998" s="86">
        <v>7003.34</v>
      </c>
      <c r="K998" s="86">
        <f t="shared" si="31"/>
        <v>2059.8063999999995</v>
      </c>
      <c r="L998" s="87" t="s">
        <v>63</v>
      </c>
      <c r="M998" s="87" t="s">
        <v>64</v>
      </c>
      <c r="N998" s="88" t="s">
        <v>61</v>
      </c>
    </row>
    <row r="999" spans="1:14">
      <c r="A999" s="81">
        <v>46045</v>
      </c>
      <c r="B999" s="82" t="s">
        <v>1067</v>
      </c>
      <c r="C999" s="82" t="s">
        <v>31</v>
      </c>
      <c r="D999" s="82" t="s">
        <v>27</v>
      </c>
      <c r="E999" s="82" t="s">
        <v>25</v>
      </c>
      <c r="F999" s="83">
        <v>2</v>
      </c>
      <c r="G999" s="84">
        <v>1398.74</v>
      </c>
      <c r="H999" s="85">
        <v>0.12</v>
      </c>
      <c r="I999" s="86">
        <f t="shared" si="30"/>
        <v>2461.7824000000001</v>
      </c>
      <c r="J999" s="86">
        <v>1902.29</v>
      </c>
      <c r="K999" s="86">
        <f t="shared" si="31"/>
        <v>559.49240000000009</v>
      </c>
      <c r="L999" s="87" t="s">
        <v>67</v>
      </c>
      <c r="M999" s="87" t="s">
        <v>60</v>
      </c>
      <c r="N999" s="88" t="s">
        <v>74</v>
      </c>
    </row>
    <row r="1000" spans="1:14">
      <c r="A1000" s="81">
        <v>46046</v>
      </c>
      <c r="B1000" s="82" t="s">
        <v>1068</v>
      </c>
      <c r="C1000" s="82" t="s">
        <v>31</v>
      </c>
      <c r="D1000" s="82" t="s">
        <v>32</v>
      </c>
      <c r="E1000" s="82" t="s">
        <v>39</v>
      </c>
      <c r="F1000" s="83">
        <v>7</v>
      </c>
      <c r="G1000" s="84">
        <v>528.32000000000005</v>
      </c>
      <c r="H1000" s="85">
        <v>0.08</v>
      </c>
      <c r="I1000" s="86">
        <f t="shared" si="30"/>
        <v>3402.3808000000004</v>
      </c>
      <c r="J1000" s="86">
        <v>2108</v>
      </c>
      <c r="K1000" s="86">
        <f t="shared" si="31"/>
        <v>1294.3808000000004</v>
      </c>
      <c r="L1000" s="87" t="s">
        <v>67</v>
      </c>
      <c r="M1000" s="87" t="s">
        <v>60</v>
      </c>
      <c r="N1000" s="88" t="s">
        <v>71</v>
      </c>
    </row>
    <row r="1001" spans="1:14">
      <c r="A1001" s="81">
        <v>46046</v>
      </c>
      <c r="B1001" s="82" t="s">
        <v>1069</v>
      </c>
      <c r="C1001" s="82" t="s">
        <v>36</v>
      </c>
      <c r="D1001" s="82" t="s">
        <v>27</v>
      </c>
      <c r="E1001" s="82" t="s">
        <v>35</v>
      </c>
      <c r="F1001" s="83">
        <v>12</v>
      </c>
      <c r="G1001" s="84">
        <v>425.93</v>
      </c>
      <c r="H1001" s="85">
        <v>0.1</v>
      </c>
      <c r="I1001" s="86">
        <f t="shared" si="30"/>
        <v>4600.0439999999999</v>
      </c>
      <c r="J1001" s="86">
        <v>3066.7</v>
      </c>
      <c r="K1001" s="86">
        <f t="shared" si="31"/>
        <v>1533.3440000000001</v>
      </c>
      <c r="L1001" s="87" t="s">
        <v>67</v>
      </c>
      <c r="M1001" s="87" t="s">
        <v>68</v>
      </c>
      <c r="N1001" s="88" t="s">
        <v>71</v>
      </c>
    </row>
    <row r="1002" spans="1:14">
      <c r="A1002" s="81">
        <v>46047</v>
      </c>
      <c r="B1002" s="82" t="s">
        <v>1070</v>
      </c>
      <c r="C1002" s="82" t="s">
        <v>26</v>
      </c>
      <c r="D1002" s="82" t="s">
        <v>37</v>
      </c>
      <c r="E1002" s="82" t="s">
        <v>48</v>
      </c>
      <c r="F1002" s="83">
        <v>3</v>
      </c>
      <c r="G1002" s="84">
        <v>77.75</v>
      </c>
      <c r="H1002" s="85">
        <v>0.05</v>
      </c>
      <c r="I1002" s="86">
        <f t="shared" si="30"/>
        <v>221.58749999999998</v>
      </c>
      <c r="J1002" s="86">
        <v>97.97</v>
      </c>
      <c r="K1002" s="86">
        <f t="shared" si="31"/>
        <v>123.61749999999998</v>
      </c>
      <c r="L1002" s="87" t="s">
        <v>67</v>
      </c>
      <c r="M1002" s="87" t="s">
        <v>64</v>
      </c>
      <c r="N1002" s="88" t="s">
        <v>78</v>
      </c>
    </row>
    <row r="1003" spans="1:14">
      <c r="A1003" s="81">
        <v>46048</v>
      </c>
      <c r="B1003" s="82" t="s">
        <v>1071</v>
      </c>
      <c r="C1003" s="82" t="s">
        <v>26</v>
      </c>
      <c r="D1003" s="82" t="s">
        <v>27</v>
      </c>
      <c r="E1003" s="82" t="s">
        <v>25</v>
      </c>
      <c r="F1003" s="83">
        <v>7</v>
      </c>
      <c r="G1003" s="84">
        <v>1378.72</v>
      </c>
      <c r="H1003" s="85">
        <v>0.05</v>
      </c>
      <c r="I1003" s="86">
        <f t="shared" si="30"/>
        <v>9168.4880000000012</v>
      </c>
      <c r="J1003" s="86">
        <v>6562.71</v>
      </c>
      <c r="K1003" s="86">
        <f t="shared" si="31"/>
        <v>2605.7780000000012</v>
      </c>
      <c r="L1003" s="87" t="s">
        <v>67</v>
      </c>
      <c r="M1003" s="87" t="s">
        <v>60</v>
      </c>
      <c r="N1003" s="88" t="s">
        <v>69</v>
      </c>
    </row>
    <row r="1004" spans="1:14">
      <c r="A1004" s="81">
        <v>46048</v>
      </c>
      <c r="B1004" s="82" t="s">
        <v>1072</v>
      </c>
      <c r="C1004" s="82" t="s">
        <v>31</v>
      </c>
      <c r="D1004" s="82" t="s">
        <v>27</v>
      </c>
      <c r="E1004" s="82" t="s">
        <v>35</v>
      </c>
      <c r="F1004" s="83">
        <v>6</v>
      </c>
      <c r="G1004" s="84">
        <v>409.26</v>
      </c>
      <c r="H1004" s="85">
        <v>0.08</v>
      </c>
      <c r="I1004" s="86">
        <f t="shared" si="30"/>
        <v>2259.1152000000002</v>
      </c>
      <c r="J1004" s="86">
        <v>1473.34</v>
      </c>
      <c r="K1004" s="86">
        <f t="shared" si="31"/>
        <v>785.77520000000027</v>
      </c>
      <c r="L1004" s="87" t="s">
        <v>59</v>
      </c>
      <c r="M1004" s="87" t="s">
        <v>60</v>
      </c>
      <c r="N1004" s="88" t="s">
        <v>65</v>
      </c>
    </row>
    <row r="1005" spans="1:14">
      <c r="A1005" s="81">
        <v>46048</v>
      </c>
      <c r="B1005" s="82" t="s">
        <v>1073</v>
      </c>
      <c r="C1005" s="82" t="s">
        <v>40</v>
      </c>
      <c r="D1005" s="82" t="s">
        <v>32</v>
      </c>
      <c r="E1005" s="82" t="s">
        <v>42</v>
      </c>
      <c r="F1005" s="83">
        <v>6</v>
      </c>
      <c r="G1005" s="84">
        <v>923.39</v>
      </c>
      <c r="H1005" s="85">
        <v>0.05</v>
      </c>
      <c r="I1005" s="86">
        <f t="shared" si="30"/>
        <v>5263.3230000000003</v>
      </c>
      <c r="J1005" s="86">
        <v>3379.61</v>
      </c>
      <c r="K1005" s="86">
        <f t="shared" si="31"/>
        <v>1883.7130000000002</v>
      </c>
      <c r="L1005" s="87" t="s">
        <v>67</v>
      </c>
      <c r="M1005" s="87" t="s">
        <v>64</v>
      </c>
      <c r="N1005" s="88" t="s">
        <v>74</v>
      </c>
    </row>
    <row r="1006" spans="1:14">
      <c r="A1006" s="81">
        <v>46048</v>
      </c>
      <c r="B1006" s="82" t="s">
        <v>1074</v>
      </c>
      <c r="C1006" s="82" t="s">
        <v>26</v>
      </c>
      <c r="D1006" s="82" t="s">
        <v>37</v>
      </c>
      <c r="E1006" s="82" t="s">
        <v>47</v>
      </c>
      <c r="F1006" s="83">
        <v>2</v>
      </c>
      <c r="G1006" s="84">
        <v>145.77000000000001</v>
      </c>
      <c r="H1006" s="85">
        <v>0.08</v>
      </c>
      <c r="I1006" s="86">
        <f t="shared" si="30"/>
        <v>268.21680000000003</v>
      </c>
      <c r="J1006" s="86">
        <v>134.11000000000001</v>
      </c>
      <c r="K1006" s="86">
        <f t="shared" si="31"/>
        <v>134.10680000000002</v>
      </c>
      <c r="L1006" s="87" t="s">
        <v>63</v>
      </c>
      <c r="M1006" s="87" t="s">
        <v>60</v>
      </c>
      <c r="N1006" s="88" t="s">
        <v>71</v>
      </c>
    </row>
    <row r="1007" spans="1:14">
      <c r="A1007" s="81">
        <v>46049</v>
      </c>
      <c r="B1007" s="82" t="s">
        <v>1075</v>
      </c>
      <c r="C1007" s="82" t="s">
        <v>36</v>
      </c>
      <c r="D1007" s="82" t="s">
        <v>27</v>
      </c>
      <c r="E1007" s="82" t="s">
        <v>30</v>
      </c>
      <c r="F1007" s="83">
        <v>7</v>
      </c>
      <c r="G1007" s="84">
        <v>756.57</v>
      </c>
      <c r="H1007" s="85">
        <v>0.12</v>
      </c>
      <c r="I1007" s="86">
        <f t="shared" si="30"/>
        <v>4660.4712000000009</v>
      </c>
      <c r="J1007" s="86">
        <v>3389.43</v>
      </c>
      <c r="K1007" s="86">
        <f t="shared" si="31"/>
        <v>1271.041200000001</v>
      </c>
      <c r="L1007" s="87" t="s">
        <v>67</v>
      </c>
      <c r="M1007" s="87" t="s">
        <v>60</v>
      </c>
      <c r="N1007" s="88" t="s">
        <v>65</v>
      </c>
    </row>
    <row r="1008" spans="1:14">
      <c r="A1008" s="81">
        <v>46050</v>
      </c>
      <c r="B1008" s="82" t="s">
        <v>1076</v>
      </c>
      <c r="C1008" s="82" t="s">
        <v>26</v>
      </c>
      <c r="D1008" s="82" t="s">
        <v>27</v>
      </c>
      <c r="E1008" s="82" t="s">
        <v>35</v>
      </c>
      <c r="F1008" s="83">
        <v>1</v>
      </c>
      <c r="G1008" s="84">
        <v>420.03</v>
      </c>
      <c r="H1008" s="85">
        <v>0.08</v>
      </c>
      <c r="I1008" s="86">
        <f t="shared" si="30"/>
        <v>386.42759999999998</v>
      </c>
      <c r="J1008" s="86">
        <v>252.02</v>
      </c>
      <c r="K1008" s="86">
        <f t="shared" si="31"/>
        <v>134.40759999999997</v>
      </c>
      <c r="L1008" s="87" t="s">
        <v>59</v>
      </c>
      <c r="M1008" s="87" t="s">
        <v>64</v>
      </c>
      <c r="N1008" s="88" t="s">
        <v>61</v>
      </c>
    </row>
    <row r="1009" spans="1:14">
      <c r="A1009" s="81">
        <v>46050</v>
      </c>
      <c r="B1009" s="82" t="s">
        <v>1077</v>
      </c>
      <c r="C1009" s="82" t="s">
        <v>36</v>
      </c>
      <c r="D1009" s="82" t="s">
        <v>32</v>
      </c>
      <c r="E1009" s="82" t="s">
        <v>42</v>
      </c>
      <c r="F1009" s="83">
        <v>10</v>
      </c>
      <c r="G1009" s="84">
        <v>861.73</v>
      </c>
      <c r="H1009" s="85">
        <v>0.05</v>
      </c>
      <c r="I1009" s="86">
        <f t="shared" si="30"/>
        <v>8186.4349999999986</v>
      </c>
      <c r="J1009" s="86">
        <v>5256.55</v>
      </c>
      <c r="K1009" s="86">
        <f t="shared" si="31"/>
        <v>2929.8849999999984</v>
      </c>
      <c r="L1009" s="87" t="s">
        <v>59</v>
      </c>
      <c r="M1009" s="87" t="s">
        <v>68</v>
      </c>
      <c r="N1009" s="88" t="s">
        <v>65</v>
      </c>
    </row>
    <row r="1010" spans="1:14">
      <c r="A1010" s="81">
        <v>46050</v>
      </c>
      <c r="B1010" s="82" t="s">
        <v>1078</v>
      </c>
      <c r="C1010" s="82" t="s">
        <v>26</v>
      </c>
      <c r="D1010" s="82" t="s">
        <v>32</v>
      </c>
      <c r="E1010" s="82" t="s">
        <v>42</v>
      </c>
      <c r="F1010" s="83">
        <v>6</v>
      </c>
      <c r="G1010" s="84">
        <v>918.22</v>
      </c>
      <c r="H1010" s="85">
        <v>0.03</v>
      </c>
      <c r="I1010" s="86">
        <f t="shared" si="30"/>
        <v>5344.0403999999999</v>
      </c>
      <c r="J1010" s="86">
        <v>3360.69</v>
      </c>
      <c r="K1010" s="86">
        <f t="shared" si="31"/>
        <v>1983.3503999999998</v>
      </c>
      <c r="L1010" s="87" t="s">
        <v>67</v>
      </c>
      <c r="M1010" s="87" t="s">
        <v>68</v>
      </c>
      <c r="N1010" s="88" t="s">
        <v>61</v>
      </c>
    </row>
    <row r="1011" spans="1:14">
      <c r="A1011" s="81">
        <v>46052</v>
      </c>
      <c r="B1011" s="82" t="s">
        <v>1079</v>
      </c>
      <c r="C1011" s="82" t="s">
        <v>40</v>
      </c>
      <c r="D1011" s="82" t="s">
        <v>32</v>
      </c>
      <c r="E1011" s="82" t="s">
        <v>39</v>
      </c>
      <c r="F1011" s="83">
        <v>5</v>
      </c>
      <c r="G1011" s="84">
        <v>522.74</v>
      </c>
      <c r="H1011" s="85">
        <v>0.1</v>
      </c>
      <c r="I1011" s="86">
        <f t="shared" si="30"/>
        <v>2352.33</v>
      </c>
      <c r="J1011" s="86">
        <v>1489.81</v>
      </c>
      <c r="K1011" s="86">
        <f t="shared" si="31"/>
        <v>862.52</v>
      </c>
      <c r="L1011" s="87" t="s">
        <v>63</v>
      </c>
      <c r="M1011" s="87" t="s">
        <v>64</v>
      </c>
      <c r="N1011" s="88" t="s">
        <v>61</v>
      </c>
    </row>
    <row r="1012" spans="1:14">
      <c r="A1012" s="81">
        <v>46052</v>
      </c>
      <c r="B1012" s="82" t="s">
        <v>1080</v>
      </c>
      <c r="C1012" s="82" t="s">
        <v>26</v>
      </c>
      <c r="D1012" s="82" t="s">
        <v>32</v>
      </c>
      <c r="E1012" s="82" t="s">
        <v>46</v>
      </c>
      <c r="F1012" s="83">
        <v>11</v>
      </c>
      <c r="G1012" s="84">
        <v>117.26</v>
      </c>
      <c r="H1012" s="85">
        <v>0.03</v>
      </c>
      <c r="I1012" s="86">
        <f t="shared" si="30"/>
        <v>1251.1642000000002</v>
      </c>
      <c r="J1012" s="86">
        <v>619.13</v>
      </c>
      <c r="K1012" s="86">
        <f t="shared" si="31"/>
        <v>632.03420000000017</v>
      </c>
      <c r="L1012" s="87" t="s">
        <v>67</v>
      </c>
      <c r="M1012" s="87" t="s">
        <v>68</v>
      </c>
      <c r="N1012" s="88" t="s">
        <v>65</v>
      </c>
    </row>
    <row r="1013" spans="1:14">
      <c r="A1013" s="81">
        <v>46052</v>
      </c>
      <c r="B1013" s="82" t="s">
        <v>1081</v>
      </c>
      <c r="C1013" s="82" t="s">
        <v>31</v>
      </c>
      <c r="D1013" s="82" t="s">
        <v>37</v>
      </c>
      <c r="E1013" s="82" t="s">
        <v>47</v>
      </c>
      <c r="F1013" s="83">
        <v>6</v>
      </c>
      <c r="G1013" s="84">
        <v>146.06</v>
      </c>
      <c r="H1013" s="85">
        <v>0.08</v>
      </c>
      <c r="I1013" s="86">
        <f t="shared" si="30"/>
        <v>806.25120000000004</v>
      </c>
      <c r="J1013" s="86">
        <v>403.13</v>
      </c>
      <c r="K1013" s="86">
        <f t="shared" si="31"/>
        <v>403.12120000000004</v>
      </c>
      <c r="L1013" s="87" t="s">
        <v>59</v>
      </c>
      <c r="M1013" s="87" t="s">
        <v>60</v>
      </c>
      <c r="N1013" s="88" t="s">
        <v>61</v>
      </c>
    </row>
    <row r="1014" spans="1:14">
      <c r="A1014" s="81">
        <v>46053</v>
      </c>
      <c r="B1014" s="82" t="s">
        <v>1082</v>
      </c>
      <c r="C1014" s="82" t="s">
        <v>36</v>
      </c>
      <c r="D1014" s="82" t="s">
        <v>27</v>
      </c>
      <c r="E1014" s="82" t="s">
        <v>30</v>
      </c>
      <c r="F1014" s="83">
        <v>6</v>
      </c>
      <c r="G1014" s="84">
        <v>749.95</v>
      </c>
      <c r="H1014" s="85">
        <v>0.05</v>
      </c>
      <c r="I1014" s="86">
        <f t="shared" si="30"/>
        <v>4274.7150000000001</v>
      </c>
      <c r="J1014" s="86">
        <v>2879.81</v>
      </c>
      <c r="K1014" s="86">
        <f t="shared" si="31"/>
        <v>1394.9050000000002</v>
      </c>
      <c r="L1014" s="87" t="s">
        <v>59</v>
      </c>
      <c r="M1014" s="87" t="s">
        <v>68</v>
      </c>
      <c r="N1014" s="88" t="s">
        <v>65</v>
      </c>
    </row>
    <row r="1015" spans="1:14">
      <c r="A1015" s="81">
        <v>46053</v>
      </c>
      <c r="B1015" s="82" t="s">
        <v>1083</v>
      </c>
      <c r="C1015" s="82" t="s">
        <v>40</v>
      </c>
      <c r="D1015" s="82" t="s">
        <v>27</v>
      </c>
      <c r="E1015" s="82" t="s">
        <v>30</v>
      </c>
      <c r="F1015" s="83">
        <v>10</v>
      </c>
      <c r="G1015" s="84">
        <v>727.84</v>
      </c>
      <c r="H1015" s="85">
        <v>0.05</v>
      </c>
      <c r="I1015" s="86">
        <f t="shared" si="30"/>
        <v>6914.4800000000005</v>
      </c>
      <c r="J1015" s="86">
        <v>4658.18</v>
      </c>
      <c r="K1015" s="86">
        <f t="shared" si="31"/>
        <v>2256.3000000000002</v>
      </c>
      <c r="L1015" s="87" t="s">
        <v>59</v>
      </c>
      <c r="M1015" s="87" t="s">
        <v>68</v>
      </c>
      <c r="N1015" s="88" t="s">
        <v>65</v>
      </c>
    </row>
    <row r="1016" spans="1:14">
      <c r="A1016" s="81">
        <v>46055</v>
      </c>
      <c r="B1016" s="82" t="s">
        <v>1084</v>
      </c>
      <c r="C1016" s="82" t="s">
        <v>31</v>
      </c>
      <c r="D1016" s="82" t="s">
        <v>27</v>
      </c>
      <c r="E1016" s="82" t="s">
        <v>35</v>
      </c>
      <c r="F1016" s="83">
        <v>3</v>
      </c>
      <c r="G1016" s="84">
        <v>437.46</v>
      </c>
      <c r="H1016" s="85">
        <v>0.03</v>
      </c>
      <c r="I1016" s="86">
        <f t="shared" si="30"/>
        <v>1273.0085999999999</v>
      </c>
      <c r="J1016" s="86">
        <v>787.43</v>
      </c>
      <c r="K1016" s="86">
        <f t="shared" si="31"/>
        <v>485.57859999999994</v>
      </c>
      <c r="L1016" s="87" t="s">
        <v>59</v>
      </c>
      <c r="M1016" s="87" t="s">
        <v>64</v>
      </c>
      <c r="N1016" s="88" t="s">
        <v>69</v>
      </c>
    </row>
    <row r="1017" spans="1:14">
      <c r="A1017" s="81">
        <v>46055</v>
      </c>
      <c r="B1017" s="82" t="s">
        <v>1085</v>
      </c>
      <c r="C1017" s="82" t="s">
        <v>36</v>
      </c>
      <c r="D1017" s="82" t="s">
        <v>37</v>
      </c>
      <c r="E1017" s="82" t="s">
        <v>48</v>
      </c>
      <c r="F1017" s="83">
        <v>8</v>
      </c>
      <c r="G1017" s="84">
        <v>79.34</v>
      </c>
      <c r="H1017" s="85">
        <v>0.1</v>
      </c>
      <c r="I1017" s="86">
        <f t="shared" si="30"/>
        <v>571.24800000000005</v>
      </c>
      <c r="J1017" s="86">
        <v>266.58</v>
      </c>
      <c r="K1017" s="86">
        <f t="shared" si="31"/>
        <v>304.66800000000006</v>
      </c>
      <c r="L1017" s="87" t="s">
        <v>67</v>
      </c>
      <c r="M1017" s="87" t="s">
        <v>60</v>
      </c>
      <c r="N1017" s="88" t="s">
        <v>61</v>
      </c>
    </row>
    <row r="1018" spans="1:14">
      <c r="A1018" s="81">
        <v>46055</v>
      </c>
      <c r="B1018" s="82" t="s">
        <v>1086</v>
      </c>
      <c r="C1018" s="82" t="s">
        <v>36</v>
      </c>
      <c r="D1018" s="82" t="s">
        <v>32</v>
      </c>
      <c r="E1018" s="82" t="s">
        <v>42</v>
      </c>
      <c r="F1018" s="83">
        <v>11</v>
      </c>
      <c r="G1018" s="84">
        <v>875.99</v>
      </c>
      <c r="H1018" s="85">
        <v>0.12</v>
      </c>
      <c r="I1018" s="86">
        <f t="shared" si="30"/>
        <v>8479.5831999999991</v>
      </c>
      <c r="J1018" s="86">
        <v>5877.89</v>
      </c>
      <c r="K1018" s="86">
        <f t="shared" si="31"/>
        <v>2601.6931999999988</v>
      </c>
      <c r="L1018" s="87" t="s">
        <v>63</v>
      </c>
      <c r="M1018" s="87" t="s">
        <v>68</v>
      </c>
      <c r="N1018" s="88" t="s">
        <v>78</v>
      </c>
    </row>
    <row r="1019" spans="1:14">
      <c r="A1019" s="81">
        <v>46057</v>
      </c>
      <c r="B1019" s="82" t="s">
        <v>1087</v>
      </c>
      <c r="C1019" s="82" t="s">
        <v>26</v>
      </c>
      <c r="D1019" s="82" t="s">
        <v>27</v>
      </c>
      <c r="E1019" s="82" t="s">
        <v>30</v>
      </c>
      <c r="F1019" s="83">
        <v>5</v>
      </c>
      <c r="G1019" s="84">
        <v>768.83</v>
      </c>
      <c r="H1019" s="85">
        <v>0.1</v>
      </c>
      <c r="I1019" s="86">
        <f t="shared" si="30"/>
        <v>3459.7350000000001</v>
      </c>
      <c r="J1019" s="86">
        <v>2460.2600000000002</v>
      </c>
      <c r="K1019" s="86">
        <f t="shared" si="31"/>
        <v>999.47499999999991</v>
      </c>
      <c r="L1019" s="87" t="s">
        <v>67</v>
      </c>
      <c r="M1019" s="87" t="s">
        <v>64</v>
      </c>
      <c r="N1019" s="88" t="s">
        <v>71</v>
      </c>
    </row>
    <row r="1020" spans="1:14">
      <c r="A1020" s="81">
        <v>46057</v>
      </c>
      <c r="B1020" s="82" t="s">
        <v>1088</v>
      </c>
      <c r="C1020" s="82" t="s">
        <v>31</v>
      </c>
      <c r="D1020" s="82" t="s">
        <v>32</v>
      </c>
      <c r="E1020" s="82" t="s">
        <v>46</v>
      </c>
      <c r="F1020" s="83">
        <v>10</v>
      </c>
      <c r="G1020" s="84">
        <v>112.28</v>
      </c>
      <c r="H1020" s="85">
        <v>0.1</v>
      </c>
      <c r="I1020" s="86">
        <f t="shared" si="30"/>
        <v>1010.52</v>
      </c>
      <c r="J1020" s="86">
        <v>538.94000000000005</v>
      </c>
      <c r="K1020" s="86">
        <f t="shared" si="31"/>
        <v>471.57999999999993</v>
      </c>
      <c r="L1020" s="87" t="s">
        <v>59</v>
      </c>
      <c r="M1020" s="87" t="s">
        <v>68</v>
      </c>
      <c r="N1020" s="88" t="s">
        <v>78</v>
      </c>
    </row>
    <row r="1021" spans="1:14">
      <c r="A1021" s="81">
        <v>46058</v>
      </c>
      <c r="B1021" s="82" t="s">
        <v>1089</v>
      </c>
      <c r="C1021" s="82" t="s">
        <v>40</v>
      </c>
      <c r="D1021" s="82" t="s">
        <v>27</v>
      </c>
      <c r="E1021" s="82" t="s">
        <v>35</v>
      </c>
      <c r="F1021" s="83">
        <v>9</v>
      </c>
      <c r="G1021" s="84">
        <v>430.42</v>
      </c>
      <c r="H1021" s="85">
        <v>0.05</v>
      </c>
      <c r="I1021" s="86">
        <f t="shared" si="30"/>
        <v>3680.0909999999999</v>
      </c>
      <c r="J1021" s="86">
        <v>2324.27</v>
      </c>
      <c r="K1021" s="86">
        <f t="shared" si="31"/>
        <v>1355.8209999999999</v>
      </c>
      <c r="L1021" s="87" t="s">
        <v>67</v>
      </c>
      <c r="M1021" s="87" t="s">
        <v>68</v>
      </c>
      <c r="N1021" s="88" t="s">
        <v>69</v>
      </c>
    </row>
    <row r="1022" spans="1:14">
      <c r="A1022" s="81">
        <v>46058</v>
      </c>
      <c r="B1022" s="82" t="s">
        <v>1090</v>
      </c>
      <c r="C1022" s="82" t="s">
        <v>31</v>
      </c>
      <c r="D1022" s="82" t="s">
        <v>27</v>
      </c>
      <c r="E1022" s="82" t="s">
        <v>25</v>
      </c>
      <c r="F1022" s="83">
        <v>6</v>
      </c>
      <c r="G1022" s="84">
        <v>1343.63</v>
      </c>
      <c r="H1022" s="85">
        <v>0.12</v>
      </c>
      <c r="I1022" s="86">
        <f t="shared" si="30"/>
        <v>7094.3664000000008</v>
      </c>
      <c r="J1022" s="86">
        <v>5482.01</v>
      </c>
      <c r="K1022" s="86">
        <f t="shared" si="31"/>
        <v>1612.3564000000006</v>
      </c>
      <c r="L1022" s="87" t="s">
        <v>63</v>
      </c>
      <c r="M1022" s="87" t="s">
        <v>60</v>
      </c>
      <c r="N1022" s="88" t="s">
        <v>69</v>
      </c>
    </row>
    <row r="1023" spans="1:14">
      <c r="A1023" s="81">
        <v>46059</v>
      </c>
      <c r="B1023" s="82" t="s">
        <v>1091</v>
      </c>
      <c r="C1023" s="82" t="s">
        <v>36</v>
      </c>
      <c r="D1023" s="82" t="s">
        <v>32</v>
      </c>
      <c r="E1023" s="82" t="s">
        <v>39</v>
      </c>
      <c r="F1023" s="83">
        <v>7</v>
      </c>
      <c r="G1023" s="84">
        <v>500.44</v>
      </c>
      <c r="H1023" s="85">
        <v>0.05</v>
      </c>
      <c r="I1023" s="86">
        <f t="shared" si="30"/>
        <v>3327.9259999999999</v>
      </c>
      <c r="J1023" s="86">
        <v>1996.76</v>
      </c>
      <c r="K1023" s="86">
        <f t="shared" si="31"/>
        <v>1331.1659999999999</v>
      </c>
      <c r="L1023" s="87" t="s">
        <v>63</v>
      </c>
      <c r="M1023" s="87" t="s">
        <v>64</v>
      </c>
      <c r="N1023" s="88" t="s">
        <v>74</v>
      </c>
    </row>
    <row r="1024" spans="1:14">
      <c r="A1024" s="81">
        <v>46060</v>
      </c>
      <c r="B1024" s="82" t="s">
        <v>1092</v>
      </c>
      <c r="C1024" s="82" t="s">
        <v>26</v>
      </c>
      <c r="D1024" s="82" t="s">
        <v>27</v>
      </c>
      <c r="E1024" s="82" t="s">
        <v>25</v>
      </c>
      <c r="F1024" s="83">
        <v>3</v>
      </c>
      <c r="G1024" s="84">
        <v>1389.26</v>
      </c>
      <c r="H1024" s="85">
        <v>0.05</v>
      </c>
      <c r="I1024" s="86">
        <f t="shared" si="30"/>
        <v>3959.3909999999996</v>
      </c>
      <c r="J1024" s="86">
        <v>2834.09</v>
      </c>
      <c r="K1024" s="86">
        <f t="shared" si="31"/>
        <v>1125.3009999999995</v>
      </c>
      <c r="L1024" s="87" t="s">
        <v>63</v>
      </c>
      <c r="M1024" s="87" t="s">
        <v>68</v>
      </c>
      <c r="N1024" s="88" t="s">
        <v>65</v>
      </c>
    </row>
    <row r="1025" spans="1:14">
      <c r="A1025" s="81">
        <v>46060</v>
      </c>
      <c r="B1025" s="82" t="s">
        <v>1093</v>
      </c>
      <c r="C1025" s="82" t="s">
        <v>26</v>
      </c>
      <c r="D1025" s="82" t="s">
        <v>27</v>
      </c>
      <c r="E1025" s="82" t="s">
        <v>25</v>
      </c>
      <c r="F1025" s="83">
        <v>5</v>
      </c>
      <c r="G1025" s="84">
        <v>1373.44</v>
      </c>
      <c r="H1025" s="85">
        <v>0.03</v>
      </c>
      <c r="I1025" s="86">
        <f t="shared" si="30"/>
        <v>6661.1840000000002</v>
      </c>
      <c r="J1025" s="86">
        <v>4669.7</v>
      </c>
      <c r="K1025" s="86">
        <f t="shared" si="31"/>
        <v>1991.4840000000004</v>
      </c>
      <c r="L1025" s="87" t="s">
        <v>67</v>
      </c>
      <c r="M1025" s="87" t="s">
        <v>60</v>
      </c>
      <c r="N1025" s="88" t="s">
        <v>74</v>
      </c>
    </row>
    <row r="1026" spans="1:14">
      <c r="A1026" s="81">
        <v>46061</v>
      </c>
      <c r="B1026" s="82" t="s">
        <v>1094</v>
      </c>
      <c r="C1026" s="82" t="s">
        <v>36</v>
      </c>
      <c r="D1026" s="82" t="s">
        <v>37</v>
      </c>
      <c r="E1026" s="82" t="s">
        <v>48</v>
      </c>
      <c r="F1026" s="83">
        <v>5</v>
      </c>
      <c r="G1026" s="84">
        <v>80.400000000000006</v>
      </c>
      <c r="H1026" s="85">
        <v>0</v>
      </c>
      <c r="I1026" s="86">
        <f t="shared" ref="I1026:I1089" si="32">F1026*G1026*(1-H1026)</f>
        <v>402</v>
      </c>
      <c r="J1026" s="86">
        <v>168.84</v>
      </c>
      <c r="K1026" s="86">
        <f t="shared" ref="K1026:K1089" si="33">I1026-J1026</f>
        <v>233.16</v>
      </c>
      <c r="L1026" s="87" t="s">
        <v>59</v>
      </c>
      <c r="M1026" s="87" t="s">
        <v>68</v>
      </c>
      <c r="N1026" s="88" t="s">
        <v>71</v>
      </c>
    </row>
    <row r="1027" spans="1:14">
      <c r="A1027" s="81">
        <v>46062</v>
      </c>
      <c r="B1027" s="82" t="s">
        <v>1095</v>
      </c>
      <c r="C1027" s="82" t="s">
        <v>40</v>
      </c>
      <c r="D1027" s="82" t="s">
        <v>27</v>
      </c>
      <c r="E1027" s="82" t="s">
        <v>30</v>
      </c>
      <c r="F1027" s="83">
        <v>7</v>
      </c>
      <c r="G1027" s="84">
        <v>729.73</v>
      </c>
      <c r="H1027" s="85">
        <v>0.03</v>
      </c>
      <c r="I1027" s="86">
        <f t="shared" si="32"/>
        <v>4954.8667000000005</v>
      </c>
      <c r="J1027" s="86">
        <v>3269.19</v>
      </c>
      <c r="K1027" s="86">
        <f t="shared" si="33"/>
        <v>1685.6767000000004</v>
      </c>
      <c r="L1027" s="87" t="s">
        <v>63</v>
      </c>
      <c r="M1027" s="87" t="s">
        <v>60</v>
      </c>
      <c r="N1027" s="88" t="s">
        <v>74</v>
      </c>
    </row>
    <row r="1028" spans="1:14">
      <c r="A1028" s="81">
        <v>46063</v>
      </c>
      <c r="B1028" s="82" t="s">
        <v>1096</v>
      </c>
      <c r="C1028" s="82" t="s">
        <v>31</v>
      </c>
      <c r="D1028" s="82" t="s">
        <v>32</v>
      </c>
      <c r="E1028" s="82" t="s">
        <v>42</v>
      </c>
      <c r="F1028" s="83">
        <v>8</v>
      </c>
      <c r="G1028" s="84">
        <v>864.25</v>
      </c>
      <c r="H1028" s="85">
        <v>0.03</v>
      </c>
      <c r="I1028" s="86">
        <f t="shared" si="32"/>
        <v>6706.58</v>
      </c>
      <c r="J1028" s="86">
        <v>4217.54</v>
      </c>
      <c r="K1028" s="86">
        <f t="shared" si="33"/>
        <v>2489.04</v>
      </c>
      <c r="L1028" s="87" t="s">
        <v>63</v>
      </c>
      <c r="M1028" s="87" t="s">
        <v>60</v>
      </c>
      <c r="N1028" s="88" t="s">
        <v>78</v>
      </c>
    </row>
    <row r="1029" spans="1:14">
      <c r="A1029" s="81">
        <v>46064</v>
      </c>
      <c r="B1029" s="82" t="s">
        <v>1097</v>
      </c>
      <c r="C1029" s="82" t="s">
        <v>36</v>
      </c>
      <c r="D1029" s="82" t="s">
        <v>27</v>
      </c>
      <c r="E1029" s="82" t="s">
        <v>30</v>
      </c>
      <c r="F1029" s="83">
        <v>2</v>
      </c>
      <c r="G1029" s="84">
        <v>736.46</v>
      </c>
      <c r="H1029" s="85">
        <v>0.05</v>
      </c>
      <c r="I1029" s="86">
        <f t="shared" si="32"/>
        <v>1399.2740000000001</v>
      </c>
      <c r="J1029" s="86">
        <v>942.67</v>
      </c>
      <c r="K1029" s="86">
        <f t="shared" si="33"/>
        <v>456.60400000000016</v>
      </c>
      <c r="L1029" s="87" t="s">
        <v>67</v>
      </c>
      <c r="M1029" s="87" t="s">
        <v>68</v>
      </c>
      <c r="N1029" s="88" t="s">
        <v>78</v>
      </c>
    </row>
    <row r="1030" spans="1:14">
      <c r="A1030" s="81">
        <v>46065</v>
      </c>
      <c r="B1030" s="82" t="s">
        <v>1098</v>
      </c>
      <c r="C1030" s="82" t="s">
        <v>31</v>
      </c>
      <c r="D1030" s="82" t="s">
        <v>27</v>
      </c>
      <c r="E1030" s="82" t="s">
        <v>30</v>
      </c>
      <c r="F1030" s="83">
        <v>2</v>
      </c>
      <c r="G1030" s="84">
        <v>717.46</v>
      </c>
      <c r="H1030" s="85">
        <v>0.12</v>
      </c>
      <c r="I1030" s="86">
        <f t="shared" si="32"/>
        <v>1262.7296000000001</v>
      </c>
      <c r="J1030" s="86">
        <v>918.35</v>
      </c>
      <c r="K1030" s="86">
        <f t="shared" si="33"/>
        <v>344.3796000000001</v>
      </c>
      <c r="L1030" s="87" t="s">
        <v>67</v>
      </c>
      <c r="M1030" s="87" t="s">
        <v>60</v>
      </c>
      <c r="N1030" s="88" t="s">
        <v>78</v>
      </c>
    </row>
    <row r="1031" spans="1:14">
      <c r="A1031" s="81">
        <v>46065</v>
      </c>
      <c r="B1031" s="82" t="s">
        <v>1099</v>
      </c>
      <c r="C1031" s="82" t="s">
        <v>26</v>
      </c>
      <c r="D1031" s="82" t="s">
        <v>27</v>
      </c>
      <c r="E1031" s="82" t="s">
        <v>30</v>
      </c>
      <c r="F1031" s="83">
        <v>3</v>
      </c>
      <c r="G1031" s="84">
        <v>739.58</v>
      </c>
      <c r="H1031" s="85">
        <v>0.08</v>
      </c>
      <c r="I1031" s="86">
        <f t="shared" si="32"/>
        <v>2041.2408000000003</v>
      </c>
      <c r="J1031" s="86">
        <v>1419.99</v>
      </c>
      <c r="K1031" s="86">
        <f t="shared" si="33"/>
        <v>621.25080000000025</v>
      </c>
      <c r="L1031" s="87" t="s">
        <v>67</v>
      </c>
      <c r="M1031" s="87" t="s">
        <v>64</v>
      </c>
      <c r="N1031" s="88" t="s">
        <v>69</v>
      </c>
    </row>
    <row r="1032" spans="1:14">
      <c r="A1032" s="81">
        <v>46065</v>
      </c>
      <c r="B1032" s="82" t="s">
        <v>1100</v>
      </c>
      <c r="C1032" s="82" t="s">
        <v>26</v>
      </c>
      <c r="D1032" s="82" t="s">
        <v>27</v>
      </c>
      <c r="E1032" s="82" t="s">
        <v>30</v>
      </c>
      <c r="F1032" s="83">
        <v>3</v>
      </c>
      <c r="G1032" s="84">
        <v>742.2</v>
      </c>
      <c r="H1032" s="85">
        <v>0.08</v>
      </c>
      <c r="I1032" s="86">
        <f t="shared" si="32"/>
        <v>2048.4720000000002</v>
      </c>
      <c r="J1032" s="86">
        <v>1425.02</v>
      </c>
      <c r="K1032" s="86">
        <f t="shared" si="33"/>
        <v>623.45200000000023</v>
      </c>
      <c r="L1032" s="87" t="s">
        <v>63</v>
      </c>
      <c r="M1032" s="87" t="s">
        <v>64</v>
      </c>
      <c r="N1032" s="88" t="s">
        <v>69</v>
      </c>
    </row>
    <row r="1033" spans="1:14">
      <c r="A1033" s="81">
        <v>46065</v>
      </c>
      <c r="B1033" s="82" t="s">
        <v>1101</v>
      </c>
      <c r="C1033" s="82" t="s">
        <v>40</v>
      </c>
      <c r="D1033" s="82" t="s">
        <v>32</v>
      </c>
      <c r="E1033" s="82" t="s">
        <v>42</v>
      </c>
      <c r="F1033" s="83">
        <v>3</v>
      </c>
      <c r="G1033" s="84">
        <v>875.89</v>
      </c>
      <c r="H1033" s="85">
        <v>0.12</v>
      </c>
      <c r="I1033" s="86">
        <f t="shared" si="32"/>
        <v>2312.3496</v>
      </c>
      <c r="J1033" s="86">
        <v>1602.88</v>
      </c>
      <c r="K1033" s="86">
        <f t="shared" si="33"/>
        <v>709.4695999999999</v>
      </c>
      <c r="L1033" s="87" t="s">
        <v>63</v>
      </c>
      <c r="M1033" s="87" t="s">
        <v>64</v>
      </c>
      <c r="N1033" s="88" t="s">
        <v>74</v>
      </c>
    </row>
    <row r="1034" spans="1:14">
      <c r="A1034" s="81">
        <v>46066</v>
      </c>
      <c r="B1034" s="82" t="s">
        <v>1102</v>
      </c>
      <c r="C1034" s="82" t="s">
        <v>36</v>
      </c>
      <c r="D1034" s="82" t="s">
        <v>27</v>
      </c>
      <c r="E1034" s="82" t="s">
        <v>30</v>
      </c>
      <c r="F1034" s="83">
        <v>5</v>
      </c>
      <c r="G1034" s="84">
        <v>767.43</v>
      </c>
      <c r="H1034" s="85">
        <v>0.1</v>
      </c>
      <c r="I1034" s="86">
        <f t="shared" si="32"/>
        <v>3453.4349999999999</v>
      </c>
      <c r="J1034" s="86">
        <v>2455.7800000000002</v>
      </c>
      <c r="K1034" s="86">
        <f t="shared" si="33"/>
        <v>997.65499999999975</v>
      </c>
      <c r="L1034" s="87" t="s">
        <v>67</v>
      </c>
      <c r="M1034" s="87" t="s">
        <v>60</v>
      </c>
      <c r="N1034" s="88" t="s">
        <v>69</v>
      </c>
    </row>
    <row r="1035" spans="1:14">
      <c r="A1035" s="81">
        <v>46066</v>
      </c>
      <c r="B1035" s="82" t="s">
        <v>1103</v>
      </c>
      <c r="C1035" s="82" t="s">
        <v>36</v>
      </c>
      <c r="D1035" s="82" t="s">
        <v>32</v>
      </c>
      <c r="E1035" s="82" t="s">
        <v>42</v>
      </c>
      <c r="F1035" s="83">
        <v>7</v>
      </c>
      <c r="G1035" s="84">
        <v>871.27</v>
      </c>
      <c r="H1035" s="85">
        <v>0.05</v>
      </c>
      <c r="I1035" s="86">
        <f t="shared" si="32"/>
        <v>5793.9454999999989</v>
      </c>
      <c r="J1035" s="86">
        <v>3720.32</v>
      </c>
      <c r="K1035" s="86">
        <f t="shared" si="33"/>
        <v>2073.6254999999987</v>
      </c>
      <c r="L1035" s="87" t="s">
        <v>63</v>
      </c>
      <c r="M1035" s="87" t="s">
        <v>64</v>
      </c>
      <c r="N1035" s="88" t="s">
        <v>74</v>
      </c>
    </row>
    <row r="1036" spans="1:14">
      <c r="A1036" s="81">
        <v>46067</v>
      </c>
      <c r="B1036" s="82" t="s">
        <v>1104</v>
      </c>
      <c r="C1036" s="82" t="s">
        <v>36</v>
      </c>
      <c r="D1036" s="82" t="s">
        <v>32</v>
      </c>
      <c r="E1036" s="82" t="s">
        <v>46</v>
      </c>
      <c r="F1036" s="83">
        <v>9</v>
      </c>
      <c r="G1036" s="84">
        <v>110.4</v>
      </c>
      <c r="H1036" s="85">
        <v>0.12</v>
      </c>
      <c r="I1036" s="86">
        <f t="shared" si="32"/>
        <v>874.36800000000005</v>
      </c>
      <c r="J1036" s="86">
        <v>476.93</v>
      </c>
      <c r="K1036" s="86">
        <f t="shared" si="33"/>
        <v>397.43800000000005</v>
      </c>
      <c r="L1036" s="87" t="s">
        <v>63</v>
      </c>
      <c r="M1036" s="87" t="s">
        <v>68</v>
      </c>
      <c r="N1036" s="88" t="s">
        <v>65</v>
      </c>
    </row>
    <row r="1037" spans="1:14">
      <c r="A1037" s="81">
        <v>46069</v>
      </c>
      <c r="B1037" s="82" t="s">
        <v>1105</v>
      </c>
      <c r="C1037" s="82" t="s">
        <v>26</v>
      </c>
      <c r="D1037" s="82" t="s">
        <v>27</v>
      </c>
      <c r="E1037" s="82" t="s">
        <v>30</v>
      </c>
      <c r="F1037" s="83">
        <v>6</v>
      </c>
      <c r="G1037" s="84">
        <v>717.3</v>
      </c>
      <c r="H1037" s="85">
        <v>0.03</v>
      </c>
      <c r="I1037" s="86">
        <f t="shared" si="32"/>
        <v>4174.6859999999988</v>
      </c>
      <c r="J1037" s="86">
        <v>2754.43</v>
      </c>
      <c r="K1037" s="86">
        <f t="shared" si="33"/>
        <v>1420.2559999999989</v>
      </c>
      <c r="L1037" s="87" t="s">
        <v>63</v>
      </c>
      <c r="M1037" s="87" t="s">
        <v>68</v>
      </c>
      <c r="N1037" s="88" t="s">
        <v>65</v>
      </c>
    </row>
    <row r="1038" spans="1:14">
      <c r="A1038" s="81">
        <v>46071</v>
      </c>
      <c r="B1038" s="82" t="s">
        <v>1106</v>
      </c>
      <c r="C1038" s="82" t="s">
        <v>36</v>
      </c>
      <c r="D1038" s="82" t="s">
        <v>32</v>
      </c>
      <c r="E1038" s="82" t="s">
        <v>46</v>
      </c>
      <c r="F1038" s="83">
        <v>6</v>
      </c>
      <c r="G1038" s="84">
        <v>118.65</v>
      </c>
      <c r="H1038" s="85">
        <v>0</v>
      </c>
      <c r="I1038" s="86">
        <f t="shared" si="32"/>
        <v>711.90000000000009</v>
      </c>
      <c r="J1038" s="86">
        <v>341.71</v>
      </c>
      <c r="K1038" s="86">
        <f t="shared" si="33"/>
        <v>370.19000000000011</v>
      </c>
      <c r="L1038" s="87" t="s">
        <v>59</v>
      </c>
      <c r="M1038" s="87" t="s">
        <v>68</v>
      </c>
      <c r="N1038" s="88" t="s">
        <v>71</v>
      </c>
    </row>
    <row r="1039" spans="1:14">
      <c r="A1039" s="81">
        <v>46071</v>
      </c>
      <c r="B1039" s="82" t="s">
        <v>1107</v>
      </c>
      <c r="C1039" s="82" t="s">
        <v>26</v>
      </c>
      <c r="D1039" s="82" t="s">
        <v>32</v>
      </c>
      <c r="E1039" s="82" t="s">
        <v>39</v>
      </c>
      <c r="F1039" s="83">
        <v>2</v>
      </c>
      <c r="G1039" s="84">
        <v>519.65</v>
      </c>
      <c r="H1039" s="85">
        <v>0</v>
      </c>
      <c r="I1039" s="86">
        <f t="shared" si="32"/>
        <v>1039.3</v>
      </c>
      <c r="J1039" s="86">
        <v>592.4</v>
      </c>
      <c r="K1039" s="86">
        <f t="shared" si="33"/>
        <v>446.9</v>
      </c>
      <c r="L1039" s="87" t="s">
        <v>67</v>
      </c>
      <c r="M1039" s="87" t="s">
        <v>64</v>
      </c>
      <c r="N1039" s="88" t="s">
        <v>78</v>
      </c>
    </row>
    <row r="1040" spans="1:14">
      <c r="A1040" s="81">
        <v>46072</v>
      </c>
      <c r="B1040" s="82" t="s">
        <v>1108</v>
      </c>
      <c r="C1040" s="82" t="s">
        <v>31</v>
      </c>
      <c r="D1040" s="82" t="s">
        <v>37</v>
      </c>
      <c r="E1040" s="82" t="s">
        <v>48</v>
      </c>
      <c r="F1040" s="83">
        <v>3</v>
      </c>
      <c r="G1040" s="84">
        <v>77.69</v>
      </c>
      <c r="H1040" s="85">
        <v>0</v>
      </c>
      <c r="I1040" s="86">
        <f t="shared" si="32"/>
        <v>233.07</v>
      </c>
      <c r="J1040" s="86">
        <v>97.89</v>
      </c>
      <c r="K1040" s="86">
        <f t="shared" si="33"/>
        <v>135.18</v>
      </c>
      <c r="L1040" s="87" t="s">
        <v>67</v>
      </c>
      <c r="M1040" s="87" t="s">
        <v>60</v>
      </c>
      <c r="N1040" s="88" t="s">
        <v>61</v>
      </c>
    </row>
    <row r="1041" spans="1:14">
      <c r="A1041" s="81">
        <v>46074</v>
      </c>
      <c r="B1041" s="82" t="s">
        <v>1109</v>
      </c>
      <c r="C1041" s="82" t="s">
        <v>36</v>
      </c>
      <c r="D1041" s="82" t="s">
        <v>32</v>
      </c>
      <c r="E1041" s="82" t="s">
        <v>42</v>
      </c>
      <c r="F1041" s="83">
        <v>7</v>
      </c>
      <c r="G1041" s="84">
        <v>947.07</v>
      </c>
      <c r="H1041" s="85">
        <v>0.08</v>
      </c>
      <c r="I1041" s="86">
        <f t="shared" si="32"/>
        <v>6099.1308000000008</v>
      </c>
      <c r="J1041" s="86">
        <v>4043.99</v>
      </c>
      <c r="K1041" s="86">
        <f t="shared" si="33"/>
        <v>2055.140800000001</v>
      </c>
      <c r="L1041" s="87" t="s">
        <v>63</v>
      </c>
      <c r="M1041" s="87" t="s">
        <v>64</v>
      </c>
      <c r="N1041" s="88" t="s">
        <v>65</v>
      </c>
    </row>
    <row r="1042" spans="1:14">
      <c r="A1042" s="81">
        <v>46074</v>
      </c>
      <c r="B1042" s="82" t="s">
        <v>1110</v>
      </c>
      <c r="C1042" s="82" t="s">
        <v>40</v>
      </c>
      <c r="D1042" s="82" t="s">
        <v>27</v>
      </c>
      <c r="E1042" s="82" t="s">
        <v>30</v>
      </c>
      <c r="F1042" s="83">
        <v>5</v>
      </c>
      <c r="G1042" s="84">
        <v>708.5</v>
      </c>
      <c r="H1042" s="85">
        <v>0.03</v>
      </c>
      <c r="I1042" s="86">
        <f t="shared" si="32"/>
        <v>3436.2249999999999</v>
      </c>
      <c r="J1042" s="86">
        <v>2267.1999999999998</v>
      </c>
      <c r="K1042" s="86">
        <f t="shared" si="33"/>
        <v>1169.0250000000001</v>
      </c>
      <c r="L1042" s="87" t="s">
        <v>59</v>
      </c>
      <c r="M1042" s="87" t="s">
        <v>64</v>
      </c>
      <c r="N1042" s="88" t="s">
        <v>69</v>
      </c>
    </row>
    <row r="1043" spans="1:14">
      <c r="A1043" s="81">
        <v>46075</v>
      </c>
      <c r="B1043" s="82" t="s">
        <v>1111</v>
      </c>
      <c r="C1043" s="82" t="s">
        <v>36</v>
      </c>
      <c r="D1043" s="82" t="s">
        <v>32</v>
      </c>
      <c r="E1043" s="82" t="s">
        <v>42</v>
      </c>
      <c r="F1043" s="83">
        <v>11</v>
      </c>
      <c r="G1043" s="84">
        <v>889.65</v>
      </c>
      <c r="H1043" s="85">
        <v>0.05</v>
      </c>
      <c r="I1043" s="86">
        <f t="shared" si="32"/>
        <v>9296.8424999999988</v>
      </c>
      <c r="J1043" s="86">
        <v>5969.55</v>
      </c>
      <c r="K1043" s="86">
        <f t="shared" si="33"/>
        <v>3327.2924999999987</v>
      </c>
      <c r="L1043" s="87" t="s">
        <v>63</v>
      </c>
      <c r="M1043" s="87" t="s">
        <v>68</v>
      </c>
      <c r="N1043" s="88" t="s">
        <v>65</v>
      </c>
    </row>
    <row r="1044" spans="1:14">
      <c r="A1044" s="81">
        <v>46076</v>
      </c>
      <c r="B1044" s="82" t="s">
        <v>1112</v>
      </c>
      <c r="C1044" s="82" t="s">
        <v>26</v>
      </c>
      <c r="D1044" s="82" t="s">
        <v>27</v>
      </c>
      <c r="E1044" s="82" t="s">
        <v>30</v>
      </c>
      <c r="F1044" s="83">
        <v>5</v>
      </c>
      <c r="G1044" s="84">
        <v>761.44</v>
      </c>
      <c r="H1044" s="85">
        <v>0.12</v>
      </c>
      <c r="I1044" s="86">
        <f t="shared" si="32"/>
        <v>3350.3360000000002</v>
      </c>
      <c r="J1044" s="86">
        <v>2436.61</v>
      </c>
      <c r="K1044" s="86">
        <f t="shared" si="33"/>
        <v>913.72600000000011</v>
      </c>
      <c r="L1044" s="87" t="s">
        <v>67</v>
      </c>
      <c r="M1044" s="87" t="s">
        <v>64</v>
      </c>
      <c r="N1044" s="88" t="s">
        <v>61</v>
      </c>
    </row>
    <row r="1045" spans="1:14">
      <c r="A1045" s="81">
        <v>46077</v>
      </c>
      <c r="B1045" s="82" t="s">
        <v>1113</v>
      </c>
      <c r="C1045" s="82" t="s">
        <v>26</v>
      </c>
      <c r="D1045" s="82" t="s">
        <v>27</v>
      </c>
      <c r="E1045" s="82" t="s">
        <v>35</v>
      </c>
      <c r="F1045" s="83">
        <v>10</v>
      </c>
      <c r="G1045" s="84">
        <v>434.03</v>
      </c>
      <c r="H1045" s="85">
        <v>0.08</v>
      </c>
      <c r="I1045" s="86">
        <f t="shared" si="32"/>
        <v>3993.0759999999996</v>
      </c>
      <c r="J1045" s="86">
        <v>2604.1799999999998</v>
      </c>
      <c r="K1045" s="86">
        <f t="shared" si="33"/>
        <v>1388.8959999999997</v>
      </c>
      <c r="L1045" s="87" t="s">
        <v>59</v>
      </c>
      <c r="M1045" s="87" t="s">
        <v>68</v>
      </c>
      <c r="N1045" s="88" t="s">
        <v>61</v>
      </c>
    </row>
    <row r="1046" spans="1:14">
      <c r="A1046" s="81">
        <v>46078</v>
      </c>
      <c r="B1046" s="82" t="s">
        <v>1114</v>
      </c>
      <c r="C1046" s="82" t="s">
        <v>31</v>
      </c>
      <c r="D1046" s="82" t="s">
        <v>32</v>
      </c>
      <c r="E1046" s="82" t="s">
        <v>39</v>
      </c>
      <c r="F1046" s="83">
        <v>7</v>
      </c>
      <c r="G1046" s="84">
        <v>513.9</v>
      </c>
      <c r="H1046" s="85">
        <v>0</v>
      </c>
      <c r="I1046" s="86">
        <f t="shared" si="32"/>
        <v>3597.2999999999997</v>
      </c>
      <c r="J1046" s="86">
        <v>2050.46</v>
      </c>
      <c r="K1046" s="86">
        <f t="shared" si="33"/>
        <v>1546.8399999999997</v>
      </c>
      <c r="L1046" s="87" t="s">
        <v>67</v>
      </c>
      <c r="M1046" s="87" t="s">
        <v>68</v>
      </c>
      <c r="N1046" s="88" t="s">
        <v>69</v>
      </c>
    </row>
    <row r="1047" spans="1:14">
      <c r="A1047" s="81">
        <v>46078</v>
      </c>
      <c r="B1047" s="82" t="s">
        <v>1115</v>
      </c>
      <c r="C1047" s="82" t="s">
        <v>31</v>
      </c>
      <c r="D1047" s="82" t="s">
        <v>27</v>
      </c>
      <c r="E1047" s="82" t="s">
        <v>35</v>
      </c>
      <c r="F1047" s="83">
        <v>3</v>
      </c>
      <c r="G1047" s="84">
        <v>417.41</v>
      </c>
      <c r="H1047" s="85">
        <v>0.1</v>
      </c>
      <c r="I1047" s="86">
        <f t="shared" si="32"/>
        <v>1127.0070000000001</v>
      </c>
      <c r="J1047" s="86">
        <v>751.34</v>
      </c>
      <c r="K1047" s="86">
        <f t="shared" si="33"/>
        <v>375.66700000000003</v>
      </c>
      <c r="L1047" s="87" t="s">
        <v>67</v>
      </c>
      <c r="M1047" s="87" t="s">
        <v>60</v>
      </c>
      <c r="N1047" s="88" t="s">
        <v>78</v>
      </c>
    </row>
    <row r="1048" spans="1:14">
      <c r="A1048" s="81">
        <v>46079</v>
      </c>
      <c r="B1048" s="82" t="s">
        <v>1116</v>
      </c>
      <c r="C1048" s="82" t="s">
        <v>31</v>
      </c>
      <c r="D1048" s="82" t="s">
        <v>27</v>
      </c>
      <c r="E1048" s="82" t="s">
        <v>25</v>
      </c>
      <c r="F1048" s="83">
        <v>7</v>
      </c>
      <c r="G1048" s="84">
        <v>1434.49</v>
      </c>
      <c r="H1048" s="85">
        <v>0.08</v>
      </c>
      <c r="I1048" s="86">
        <f t="shared" si="32"/>
        <v>9238.115600000001</v>
      </c>
      <c r="J1048" s="86">
        <v>6828.17</v>
      </c>
      <c r="K1048" s="86">
        <f t="shared" si="33"/>
        <v>2409.9456000000009</v>
      </c>
      <c r="L1048" s="87" t="s">
        <v>59</v>
      </c>
      <c r="M1048" s="87" t="s">
        <v>64</v>
      </c>
      <c r="N1048" s="88" t="s">
        <v>78</v>
      </c>
    </row>
    <row r="1049" spans="1:14">
      <c r="A1049" s="81">
        <v>46079</v>
      </c>
      <c r="B1049" s="82" t="s">
        <v>1117</v>
      </c>
      <c r="C1049" s="82" t="s">
        <v>31</v>
      </c>
      <c r="D1049" s="82" t="s">
        <v>37</v>
      </c>
      <c r="E1049" s="82" t="s">
        <v>48</v>
      </c>
      <c r="F1049" s="83">
        <v>5</v>
      </c>
      <c r="G1049" s="84">
        <v>82.48</v>
      </c>
      <c r="H1049" s="85">
        <v>0.05</v>
      </c>
      <c r="I1049" s="86">
        <f t="shared" si="32"/>
        <v>391.78000000000003</v>
      </c>
      <c r="J1049" s="86">
        <v>173.21</v>
      </c>
      <c r="K1049" s="86">
        <f t="shared" si="33"/>
        <v>218.57000000000002</v>
      </c>
      <c r="L1049" s="87" t="s">
        <v>67</v>
      </c>
      <c r="M1049" s="87" t="s">
        <v>60</v>
      </c>
      <c r="N1049" s="88" t="s">
        <v>74</v>
      </c>
    </row>
    <row r="1050" spans="1:14">
      <c r="A1050" s="81">
        <v>46082</v>
      </c>
      <c r="B1050" s="82" t="s">
        <v>1118</v>
      </c>
      <c r="C1050" s="82" t="s">
        <v>31</v>
      </c>
      <c r="D1050" s="82" t="s">
        <v>32</v>
      </c>
      <c r="E1050" s="82" t="s">
        <v>46</v>
      </c>
      <c r="F1050" s="83">
        <v>10</v>
      </c>
      <c r="G1050" s="84">
        <v>112.74</v>
      </c>
      <c r="H1050" s="85">
        <v>0.05</v>
      </c>
      <c r="I1050" s="86">
        <f t="shared" si="32"/>
        <v>1071.0299999999997</v>
      </c>
      <c r="J1050" s="86">
        <v>541.15</v>
      </c>
      <c r="K1050" s="86">
        <f t="shared" si="33"/>
        <v>529.87999999999977</v>
      </c>
      <c r="L1050" s="87" t="s">
        <v>67</v>
      </c>
      <c r="M1050" s="87" t="s">
        <v>68</v>
      </c>
      <c r="N1050" s="88" t="s">
        <v>65</v>
      </c>
    </row>
    <row r="1051" spans="1:14">
      <c r="A1051" s="81">
        <v>46083</v>
      </c>
      <c r="B1051" s="82" t="s">
        <v>1119</v>
      </c>
      <c r="C1051" s="82" t="s">
        <v>36</v>
      </c>
      <c r="D1051" s="82" t="s">
        <v>37</v>
      </c>
      <c r="E1051" s="82" t="s">
        <v>48</v>
      </c>
      <c r="F1051" s="83">
        <v>10</v>
      </c>
      <c r="G1051" s="84">
        <v>83.59</v>
      </c>
      <c r="H1051" s="85">
        <v>0.12</v>
      </c>
      <c r="I1051" s="86">
        <f t="shared" si="32"/>
        <v>735.5920000000001</v>
      </c>
      <c r="J1051" s="86">
        <v>351.08</v>
      </c>
      <c r="K1051" s="86">
        <f t="shared" si="33"/>
        <v>384.51200000000011</v>
      </c>
      <c r="L1051" s="87" t="s">
        <v>63</v>
      </c>
      <c r="M1051" s="87" t="s">
        <v>68</v>
      </c>
      <c r="N1051" s="88" t="s">
        <v>69</v>
      </c>
    </row>
    <row r="1052" spans="1:14">
      <c r="A1052" s="81">
        <v>46083</v>
      </c>
      <c r="B1052" s="82" t="s">
        <v>1120</v>
      </c>
      <c r="C1052" s="82" t="s">
        <v>26</v>
      </c>
      <c r="D1052" s="82" t="s">
        <v>32</v>
      </c>
      <c r="E1052" s="82" t="s">
        <v>39</v>
      </c>
      <c r="F1052" s="83">
        <v>4</v>
      </c>
      <c r="G1052" s="84">
        <v>532.21</v>
      </c>
      <c r="H1052" s="85">
        <v>0.05</v>
      </c>
      <c r="I1052" s="86">
        <f t="shared" si="32"/>
        <v>2022.3980000000001</v>
      </c>
      <c r="J1052" s="86">
        <v>1213.44</v>
      </c>
      <c r="K1052" s="86">
        <f t="shared" si="33"/>
        <v>808.95800000000008</v>
      </c>
      <c r="L1052" s="87" t="s">
        <v>59</v>
      </c>
      <c r="M1052" s="87" t="s">
        <v>68</v>
      </c>
      <c r="N1052" s="88" t="s">
        <v>65</v>
      </c>
    </row>
    <row r="1053" spans="1:14">
      <c r="A1053" s="81">
        <v>46084</v>
      </c>
      <c r="B1053" s="82" t="s">
        <v>1121</v>
      </c>
      <c r="C1053" s="82" t="s">
        <v>36</v>
      </c>
      <c r="D1053" s="82" t="s">
        <v>27</v>
      </c>
      <c r="E1053" s="82" t="s">
        <v>25</v>
      </c>
      <c r="F1053" s="83">
        <v>2</v>
      </c>
      <c r="G1053" s="84">
        <v>1371.45</v>
      </c>
      <c r="H1053" s="85">
        <v>0.1</v>
      </c>
      <c r="I1053" s="86">
        <f t="shared" si="32"/>
        <v>2468.61</v>
      </c>
      <c r="J1053" s="86">
        <v>1865.17</v>
      </c>
      <c r="K1053" s="86">
        <f t="shared" si="33"/>
        <v>603.44000000000005</v>
      </c>
      <c r="L1053" s="87" t="s">
        <v>59</v>
      </c>
      <c r="M1053" s="87" t="s">
        <v>68</v>
      </c>
      <c r="N1053" s="88" t="s">
        <v>71</v>
      </c>
    </row>
    <row r="1054" spans="1:14">
      <c r="A1054" s="81">
        <v>46084</v>
      </c>
      <c r="B1054" s="82" t="s">
        <v>1122</v>
      </c>
      <c r="C1054" s="82" t="s">
        <v>31</v>
      </c>
      <c r="D1054" s="82" t="s">
        <v>37</v>
      </c>
      <c r="E1054" s="82" t="s">
        <v>48</v>
      </c>
      <c r="F1054" s="83">
        <v>5</v>
      </c>
      <c r="G1054" s="84">
        <v>84.18</v>
      </c>
      <c r="H1054" s="85">
        <v>0.12</v>
      </c>
      <c r="I1054" s="86">
        <f t="shared" si="32"/>
        <v>370.39200000000005</v>
      </c>
      <c r="J1054" s="86">
        <v>176.78</v>
      </c>
      <c r="K1054" s="86">
        <f t="shared" si="33"/>
        <v>193.61200000000005</v>
      </c>
      <c r="L1054" s="87" t="s">
        <v>59</v>
      </c>
      <c r="M1054" s="87" t="s">
        <v>60</v>
      </c>
      <c r="N1054" s="88" t="s">
        <v>74</v>
      </c>
    </row>
    <row r="1055" spans="1:14">
      <c r="A1055" s="81">
        <v>46085</v>
      </c>
      <c r="B1055" s="82" t="s">
        <v>1123</v>
      </c>
      <c r="C1055" s="82" t="s">
        <v>26</v>
      </c>
      <c r="D1055" s="82" t="s">
        <v>32</v>
      </c>
      <c r="E1055" s="82" t="s">
        <v>39</v>
      </c>
      <c r="F1055" s="83">
        <v>8</v>
      </c>
      <c r="G1055" s="84">
        <v>509.7</v>
      </c>
      <c r="H1055" s="85">
        <v>0.03</v>
      </c>
      <c r="I1055" s="86">
        <f t="shared" si="32"/>
        <v>3955.2719999999999</v>
      </c>
      <c r="J1055" s="86">
        <v>2324.23</v>
      </c>
      <c r="K1055" s="86">
        <f t="shared" si="33"/>
        <v>1631.0419999999999</v>
      </c>
      <c r="L1055" s="87" t="s">
        <v>63</v>
      </c>
      <c r="M1055" s="87" t="s">
        <v>64</v>
      </c>
      <c r="N1055" s="88" t="s">
        <v>74</v>
      </c>
    </row>
    <row r="1056" spans="1:14">
      <c r="A1056" s="81">
        <v>46085</v>
      </c>
      <c r="B1056" s="82" t="s">
        <v>1124</v>
      </c>
      <c r="C1056" s="82" t="s">
        <v>36</v>
      </c>
      <c r="D1056" s="82" t="s">
        <v>32</v>
      </c>
      <c r="E1056" s="82" t="s">
        <v>39</v>
      </c>
      <c r="F1056" s="83">
        <v>3</v>
      </c>
      <c r="G1056" s="84">
        <v>537.75</v>
      </c>
      <c r="H1056" s="85">
        <v>0.12</v>
      </c>
      <c r="I1056" s="86">
        <f t="shared" si="32"/>
        <v>1419.66</v>
      </c>
      <c r="J1056" s="86">
        <v>919.55</v>
      </c>
      <c r="K1056" s="86">
        <f t="shared" si="33"/>
        <v>500.11000000000013</v>
      </c>
      <c r="L1056" s="87" t="s">
        <v>59</v>
      </c>
      <c r="M1056" s="87" t="s">
        <v>60</v>
      </c>
      <c r="N1056" s="88" t="s">
        <v>69</v>
      </c>
    </row>
    <row r="1057" spans="1:14">
      <c r="A1057" s="81">
        <v>46087</v>
      </c>
      <c r="B1057" s="82" t="s">
        <v>1125</v>
      </c>
      <c r="C1057" s="82" t="s">
        <v>36</v>
      </c>
      <c r="D1057" s="82" t="s">
        <v>32</v>
      </c>
      <c r="E1057" s="82" t="s">
        <v>42</v>
      </c>
      <c r="F1057" s="83">
        <v>5</v>
      </c>
      <c r="G1057" s="84">
        <v>906.77</v>
      </c>
      <c r="H1057" s="85">
        <v>0</v>
      </c>
      <c r="I1057" s="86">
        <f t="shared" si="32"/>
        <v>4533.8500000000004</v>
      </c>
      <c r="J1057" s="86">
        <v>2765.65</v>
      </c>
      <c r="K1057" s="86">
        <f t="shared" si="33"/>
        <v>1768.2000000000003</v>
      </c>
      <c r="L1057" s="87" t="s">
        <v>59</v>
      </c>
      <c r="M1057" s="87" t="s">
        <v>60</v>
      </c>
      <c r="N1057" s="88" t="s">
        <v>74</v>
      </c>
    </row>
    <row r="1058" spans="1:14">
      <c r="A1058" s="81">
        <v>46087</v>
      </c>
      <c r="B1058" s="82" t="s">
        <v>1126</v>
      </c>
      <c r="C1058" s="82" t="s">
        <v>31</v>
      </c>
      <c r="D1058" s="82" t="s">
        <v>32</v>
      </c>
      <c r="E1058" s="82" t="s">
        <v>46</v>
      </c>
      <c r="F1058" s="83">
        <v>13</v>
      </c>
      <c r="G1058" s="84">
        <v>109.1</v>
      </c>
      <c r="H1058" s="85">
        <v>0.05</v>
      </c>
      <c r="I1058" s="86">
        <f t="shared" si="32"/>
        <v>1347.385</v>
      </c>
      <c r="J1058" s="86">
        <v>680.78</v>
      </c>
      <c r="K1058" s="86">
        <f t="shared" si="33"/>
        <v>666.60500000000002</v>
      </c>
      <c r="L1058" s="87" t="s">
        <v>63</v>
      </c>
      <c r="M1058" s="87" t="s">
        <v>68</v>
      </c>
      <c r="N1058" s="88" t="s">
        <v>74</v>
      </c>
    </row>
    <row r="1059" spans="1:14">
      <c r="A1059" s="81">
        <v>46088</v>
      </c>
      <c r="B1059" s="82" t="s">
        <v>1127</v>
      </c>
      <c r="C1059" s="82" t="s">
        <v>36</v>
      </c>
      <c r="D1059" s="82" t="s">
        <v>32</v>
      </c>
      <c r="E1059" s="82" t="s">
        <v>42</v>
      </c>
      <c r="F1059" s="83">
        <v>2</v>
      </c>
      <c r="G1059" s="84">
        <v>894.9</v>
      </c>
      <c r="H1059" s="85">
        <v>0.1</v>
      </c>
      <c r="I1059" s="86">
        <f t="shared" si="32"/>
        <v>1610.82</v>
      </c>
      <c r="J1059" s="86">
        <v>1091.78</v>
      </c>
      <c r="K1059" s="86">
        <f t="shared" si="33"/>
        <v>519.04</v>
      </c>
      <c r="L1059" s="87" t="s">
        <v>59</v>
      </c>
      <c r="M1059" s="87" t="s">
        <v>68</v>
      </c>
      <c r="N1059" s="88" t="s">
        <v>78</v>
      </c>
    </row>
    <row r="1060" spans="1:14">
      <c r="A1060" s="81">
        <v>46088</v>
      </c>
      <c r="B1060" s="82" t="s">
        <v>1128</v>
      </c>
      <c r="C1060" s="82" t="s">
        <v>40</v>
      </c>
      <c r="D1060" s="82" t="s">
        <v>27</v>
      </c>
      <c r="E1060" s="82" t="s">
        <v>25</v>
      </c>
      <c r="F1060" s="83">
        <v>4</v>
      </c>
      <c r="G1060" s="84">
        <v>1405.46</v>
      </c>
      <c r="H1060" s="85">
        <v>0</v>
      </c>
      <c r="I1060" s="86">
        <f t="shared" si="32"/>
        <v>5621.84</v>
      </c>
      <c r="J1060" s="86">
        <v>3822.85</v>
      </c>
      <c r="K1060" s="86">
        <f t="shared" si="33"/>
        <v>1798.9900000000002</v>
      </c>
      <c r="L1060" s="87" t="s">
        <v>63</v>
      </c>
      <c r="M1060" s="87" t="s">
        <v>68</v>
      </c>
      <c r="N1060" s="88" t="s">
        <v>78</v>
      </c>
    </row>
    <row r="1061" spans="1:14">
      <c r="A1061" s="81">
        <v>46088</v>
      </c>
      <c r="B1061" s="82" t="s">
        <v>1129</v>
      </c>
      <c r="C1061" s="82" t="s">
        <v>26</v>
      </c>
      <c r="D1061" s="82" t="s">
        <v>37</v>
      </c>
      <c r="E1061" s="82" t="s">
        <v>48</v>
      </c>
      <c r="F1061" s="83">
        <v>6</v>
      </c>
      <c r="G1061" s="84">
        <v>84.55</v>
      </c>
      <c r="H1061" s="85">
        <v>0.12</v>
      </c>
      <c r="I1061" s="86">
        <f t="shared" si="32"/>
        <v>446.42399999999998</v>
      </c>
      <c r="J1061" s="86">
        <v>213.07</v>
      </c>
      <c r="K1061" s="86">
        <f t="shared" si="33"/>
        <v>233.35399999999998</v>
      </c>
      <c r="L1061" s="87" t="s">
        <v>67</v>
      </c>
      <c r="M1061" s="87" t="s">
        <v>64</v>
      </c>
      <c r="N1061" s="88" t="s">
        <v>69</v>
      </c>
    </row>
    <row r="1062" spans="1:14">
      <c r="A1062" s="81">
        <v>46089</v>
      </c>
      <c r="B1062" s="82" t="s">
        <v>1130</v>
      </c>
      <c r="C1062" s="82" t="s">
        <v>40</v>
      </c>
      <c r="D1062" s="82" t="s">
        <v>32</v>
      </c>
      <c r="E1062" s="82" t="s">
        <v>46</v>
      </c>
      <c r="F1062" s="83">
        <v>10</v>
      </c>
      <c r="G1062" s="84">
        <v>111.64</v>
      </c>
      <c r="H1062" s="85">
        <v>0.08</v>
      </c>
      <c r="I1062" s="86">
        <f t="shared" si="32"/>
        <v>1027.0880000000002</v>
      </c>
      <c r="J1062" s="86">
        <v>535.87</v>
      </c>
      <c r="K1062" s="86">
        <f t="shared" si="33"/>
        <v>491.21800000000019</v>
      </c>
      <c r="L1062" s="87" t="s">
        <v>67</v>
      </c>
      <c r="M1062" s="87" t="s">
        <v>68</v>
      </c>
      <c r="N1062" s="88" t="s">
        <v>65</v>
      </c>
    </row>
    <row r="1063" spans="1:14">
      <c r="A1063" s="81">
        <v>46089</v>
      </c>
      <c r="B1063" s="82" t="s">
        <v>1131</v>
      </c>
      <c r="C1063" s="82" t="s">
        <v>26</v>
      </c>
      <c r="D1063" s="82" t="s">
        <v>32</v>
      </c>
      <c r="E1063" s="82" t="s">
        <v>39</v>
      </c>
      <c r="F1063" s="83">
        <v>1</v>
      </c>
      <c r="G1063" s="84">
        <v>515.71</v>
      </c>
      <c r="H1063" s="85">
        <v>0.12</v>
      </c>
      <c r="I1063" s="86">
        <f t="shared" si="32"/>
        <v>453.82480000000004</v>
      </c>
      <c r="J1063" s="86">
        <v>293.95</v>
      </c>
      <c r="K1063" s="86">
        <f t="shared" si="33"/>
        <v>159.87480000000005</v>
      </c>
      <c r="L1063" s="87" t="s">
        <v>63</v>
      </c>
      <c r="M1063" s="87" t="s">
        <v>64</v>
      </c>
      <c r="N1063" s="88" t="s">
        <v>61</v>
      </c>
    </row>
    <row r="1064" spans="1:14">
      <c r="A1064" s="81">
        <v>46090</v>
      </c>
      <c r="B1064" s="82" t="s">
        <v>1132</v>
      </c>
      <c r="C1064" s="82" t="s">
        <v>36</v>
      </c>
      <c r="D1064" s="82" t="s">
        <v>27</v>
      </c>
      <c r="E1064" s="82" t="s">
        <v>35</v>
      </c>
      <c r="F1064" s="83">
        <v>10</v>
      </c>
      <c r="G1064" s="84">
        <v>431.13</v>
      </c>
      <c r="H1064" s="85">
        <v>0.12</v>
      </c>
      <c r="I1064" s="86">
        <f t="shared" si="32"/>
        <v>3793.944</v>
      </c>
      <c r="J1064" s="86">
        <v>2586.7800000000002</v>
      </c>
      <c r="K1064" s="86">
        <f t="shared" si="33"/>
        <v>1207.1639999999998</v>
      </c>
      <c r="L1064" s="87" t="s">
        <v>63</v>
      </c>
      <c r="M1064" s="87" t="s">
        <v>68</v>
      </c>
      <c r="N1064" s="88" t="s">
        <v>71</v>
      </c>
    </row>
    <row r="1065" spans="1:14">
      <c r="A1065" s="81">
        <v>46092</v>
      </c>
      <c r="B1065" s="82" t="s">
        <v>1133</v>
      </c>
      <c r="C1065" s="82" t="s">
        <v>31</v>
      </c>
      <c r="D1065" s="82" t="s">
        <v>32</v>
      </c>
      <c r="E1065" s="82" t="s">
        <v>42</v>
      </c>
      <c r="F1065" s="83">
        <v>4</v>
      </c>
      <c r="G1065" s="84">
        <v>863.22</v>
      </c>
      <c r="H1065" s="85">
        <v>0.08</v>
      </c>
      <c r="I1065" s="86">
        <f t="shared" si="32"/>
        <v>3176.6496000000002</v>
      </c>
      <c r="J1065" s="86">
        <v>2106.2600000000002</v>
      </c>
      <c r="K1065" s="86">
        <f t="shared" si="33"/>
        <v>1070.3896</v>
      </c>
      <c r="L1065" s="87" t="s">
        <v>63</v>
      </c>
      <c r="M1065" s="87" t="s">
        <v>64</v>
      </c>
      <c r="N1065" s="88" t="s">
        <v>65</v>
      </c>
    </row>
    <row r="1066" spans="1:14">
      <c r="A1066" s="81">
        <v>46093</v>
      </c>
      <c r="B1066" s="82" t="s">
        <v>1134</v>
      </c>
      <c r="C1066" s="82" t="s">
        <v>36</v>
      </c>
      <c r="D1066" s="82" t="s">
        <v>37</v>
      </c>
      <c r="E1066" s="82" t="s">
        <v>48</v>
      </c>
      <c r="F1066" s="83">
        <v>2</v>
      </c>
      <c r="G1066" s="84">
        <v>77.59</v>
      </c>
      <c r="H1066" s="85">
        <v>0.1</v>
      </c>
      <c r="I1066" s="86">
        <f t="shared" si="32"/>
        <v>139.66200000000001</v>
      </c>
      <c r="J1066" s="86">
        <v>65.180000000000007</v>
      </c>
      <c r="K1066" s="86">
        <f t="shared" si="33"/>
        <v>74.481999999999999</v>
      </c>
      <c r="L1066" s="87" t="s">
        <v>67</v>
      </c>
      <c r="M1066" s="87" t="s">
        <v>64</v>
      </c>
      <c r="N1066" s="88" t="s">
        <v>78</v>
      </c>
    </row>
    <row r="1067" spans="1:14">
      <c r="A1067" s="81">
        <v>46095</v>
      </c>
      <c r="B1067" s="82" t="s">
        <v>1135</v>
      </c>
      <c r="C1067" s="82" t="s">
        <v>31</v>
      </c>
      <c r="D1067" s="82" t="s">
        <v>27</v>
      </c>
      <c r="E1067" s="82" t="s">
        <v>35</v>
      </c>
      <c r="F1067" s="83">
        <v>9</v>
      </c>
      <c r="G1067" s="84">
        <v>446.76</v>
      </c>
      <c r="H1067" s="85">
        <v>0</v>
      </c>
      <c r="I1067" s="86">
        <f t="shared" si="32"/>
        <v>4020.84</v>
      </c>
      <c r="J1067" s="86">
        <v>2412.5</v>
      </c>
      <c r="K1067" s="86">
        <f t="shared" si="33"/>
        <v>1608.3400000000001</v>
      </c>
      <c r="L1067" s="87" t="s">
        <v>63</v>
      </c>
      <c r="M1067" s="87" t="s">
        <v>60</v>
      </c>
      <c r="N1067" s="88" t="s">
        <v>69</v>
      </c>
    </row>
    <row r="1068" spans="1:14">
      <c r="A1068" s="81">
        <v>46095</v>
      </c>
      <c r="B1068" s="82" t="s">
        <v>1136</v>
      </c>
      <c r="C1068" s="82" t="s">
        <v>36</v>
      </c>
      <c r="D1068" s="82" t="s">
        <v>32</v>
      </c>
      <c r="E1068" s="82" t="s">
        <v>42</v>
      </c>
      <c r="F1068" s="83">
        <v>7</v>
      </c>
      <c r="G1068" s="84">
        <v>938.86</v>
      </c>
      <c r="H1068" s="85">
        <v>0</v>
      </c>
      <c r="I1068" s="86">
        <f t="shared" si="32"/>
        <v>6572.02</v>
      </c>
      <c r="J1068" s="86">
        <v>4008.93</v>
      </c>
      <c r="K1068" s="86">
        <f t="shared" si="33"/>
        <v>2563.0900000000006</v>
      </c>
      <c r="L1068" s="87" t="s">
        <v>63</v>
      </c>
      <c r="M1068" s="87" t="s">
        <v>68</v>
      </c>
      <c r="N1068" s="88" t="s">
        <v>69</v>
      </c>
    </row>
    <row r="1069" spans="1:14">
      <c r="A1069" s="81">
        <v>46096</v>
      </c>
      <c r="B1069" s="82" t="s">
        <v>1137</v>
      </c>
      <c r="C1069" s="82" t="s">
        <v>36</v>
      </c>
      <c r="D1069" s="82" t="s">
        <v>27</v>
      </c>
      <c r="E1069" s="82" t="s">
        <v>30</v>
      </c>
      <c r="F1069" s="83">
        <v>3</v>
      </c>
      <c r="G1069" s="84">
        <v>752.16</v>
      </c>
      <c r="H1069" s="85">
        <v>0.05</v>
      </c>
      <c r="I1069" s="86">
        <f t="shared" si="32"/>
        <v>2143.6559999999999</v>
      </c>
      <c r="J1069" s="86">
        <v>1444.15</v>
      </c>
      <c r="K1069" s="86">
        <f t="shared" si="33"/>
        <v>699.50599999999986</v>
      </c>
      <c r="L1069" s="87" t="s">
        <v>67</v>
      </c>
      <c r="M1069" s="87" t="s">
        <v>60</v>
      </c>
      <c r="N1069" s="88" t="s">
        <v>61</v>
      </c>
    </row>
    <row r="1070" spans="1:14">
      <c r="A1070" s="81">
        <v>46096</v>
      </c>
      <c r="B1070" s="82" t="s">
        <v>1138</v>
      </c>
      <c r="C1070" s="82" t="s">
        <v>36</v>
      </c>
      <c r="D1070" s="82" t="s">
        <v>37</v>
      </c>
      <c r="E1070" s="82" t="s">
        <v>48</v>
      </c>
      <c r="F1070" s="83">
        <v>4</v>
      </c>
      <c r="G1070" s="84">
        <v>83.31</v>
      </c>
      <c r="H1070" s="85">
        <v>0.12</v>
      </c>
      <c r="I1070" s="86">
        <f t="shared" si="32"/>
        <v>293.25119999999998</v>
      </c>
      <c r="J1070" s="86">
        <v>139.96</v>
      </c>
      <c r="K1070" s="86">
        <f t="shared" si="33"/>
        <v>153.29119999999998</v>
      </c>
      <c r="L1070" s="87" t="s">
        <v>59</v>
      </c>
      <c r="M1070" s="87" t="s">
        <v>64</v>
      </c>
      <c r="N1070" s="88" t="s">
        <v>78</v>
      </c>
    </row>
    <row r="1071" spans="1:14">
      <c r="A1071" s="81">
        <v>46097</v>
      </c>
      <c r="B1071" s="82" t="s">
        <v>1139</v>
      </c>
      <c r="C1071" s="82" t="s">
        <v>31</v>
      </c>
      <c r="D1071" s="82" t="s">
        <v>37</v>
      </c>
      <c r="E1071" s="82" t="s">
        <v>48</v>
      </c>
      <c r="F1071" s="83">
        <v>11</v>
      </c>
      <c r="G1071" s="84">
        <v>78.400000000000006</v>
      </c>
      <c r="H1071" s="85">
        <v>0.05</v>
      </c>
      <c r="I1071" s="86">
        <f t="shared" si="32"/>
        <v>819.28000000000009</v>
      </c>
      <c r="J1071" s="86">
        <v>362.21</v>
      </c>
      <c r="K1071" s="86">
        <f t="shared" si="33"/>
        <v>457.07000000000011</v>
      </c>
      <c r="L1071" s="87" t="s">
        <v>59</v>
      </c>
      <c r="M1071" s="87" t="s">
        <v>68</v>
      </c>
      <c r="N1071" s="88" t="s">
        <v>65</v>
      </c>
    </row>
    <row r="1072" spans="1:14">
      <c r="A1072" s="81">
        <v>46097</v>
      </c>
      <c r="B1072" s="82" t="s">
        <v>1140</v>
      </c>
      <c r="C1072" s="82" t="s">
        <v>31</v>
      </c>
      <c r="D1072" s="82" t="s">
        <v>37</v>
      </c>
      <c r="E1072" s="82" t="s">
        <v>47</v>
      </c>
      <c r="F1072" s="83">
        <v>4</v>
      </c>
      <c r="G1072" s="84">
        <v>142.35</v>
      </c>
      <c r="H1072" s="85">
        <v>0.12</v>
      </c>
      <c r="I1072" s="86">
        <f t="shared" si="32"/>
        <v>501.072</v>
      </c>
      <c r="J1072" s="86">
        <v>261.92</v>
      </c>
      <c r="K1072" s="86">
        <f t="shared" si="33"/>
        <v>239.15199999999999</v>
      </c>
      <c r="L1072" s="87" t="s">
        <v>59</v>
      </c>
      <c r="M1072" s="87" t="s">
        <v>68</v>
      </c>
      <c r="N1072" s="88" t="s">
        <v>71</v>
      </c>
    </row>
    <row r="1073" spans="1:14">
      <c r="A1073" s="81">
        <v>46098</v>
      </c>
      <c r="B1073" s="82" t="s">
        <v>1141</v>
      </c>
      <c r="C1073" s="82" t="s">
        <v>40</v>
      </c>
      <c r="D1073" s="82" t="s">
        <v>37</v>
      </c>
      <c r="E1073" s="82" t="s">
        <v>47</v>
      </c>
      <c r="F1073" s="83">
        <v>12</v>
      </c>
      <c r="G1073" s="84">
        <v>141.30000000000001</v>
      </c>
      <c r="H1073" s="85">
        <v>0.05</v>
      </c>
      <c r="I1073" s="86">
        <f t="shared" si="32"/>
        <v>1610.8200000000002</v>
      </c>
      <c r="J1073" s="86">
        <v>779.98</v>
      </c>
      <c r="K1073" s="86">
        <f t="shared" si="33"/>
        <v>830.84000000000015</v>
      </c>
      <c r="L1073" s="87" t="s">
        <v>59</v>
      </c>
      <c r="M1073" s="87" t="s">
        <v>68</v>
      </c>
      <c r="N1073" s="88" t="s">
        <v>71</v>
      </c>
    </row>
    <row r="1074" spans="1:14">
      <c r="A1074" s="81">
        <v>46098</v>
      </c>
      <c r="B1074" s="82" t="s">
        <v>1142</v>
      </c>
      <c r="C1074" s="82" t="s">
        <v>36</v>
      </c>
      <c r="D1074" s="82" t="s">
        <v>32</v>
      </c>
      <c r="E1074" s="82" t="s">
        <v>42</v>
      </c>
      <c r="F1074" s="83">
        <v>7</v>
      </c>
      <c r="G1074" s="84">
        <v>940.79</v>
      </c>
      <c r="H1074" s="85">
        <v>0</v>
      </c>
      <c r="I1074" s="86">
        <f t="shared" si="32"/>
        <v>6585.53</v>
      </c>
      <c r="J1074" s="86">
        <v>4017.17</v>
      </c>
      <c r="K1074" s="86">
        <f t="shared" si="33"/>
        <v>2568.3599999999997</v>
      </c>
      <c r="L1074" s="87" t="s">
        <v>59</v>
      </c>
      <c r="M1074" s="87" t="s">
        <v>64</v>
      </c>
      <c r="N1074" s="88" t="s">
        <v>74</v>
      </c>
    </row>
    <row r="1075" spans="1:14">
      <c r="A1075" s="81">
        <v>46099</v>
      </c>
      <c r="B1075" s="82" t="s">
        <v>1143</v>
      </c>
      <c r="C1075" s="82" t="s">
        <v>40</v>
      </c>
      <c r="D1075" s="82" t="s">
        <v>32</v>
      </c>
      <c r="E1075" s="82" t="s">
        <v>42</v>
      </c>
      <c r="F1075" s="83">
        <v>13</v>
      </c>
      <c r="G1075" s="84">
        <v>898.09</v>
      </c>
      <c r="H1075" s="85">
        <v>0.03</v>
      </c>
      <c r="I1075" s="86">
        <f t="shared" si="32"/>
        <v>11324.9149</v>
      </c>
      <c r="J1075" s="86">
        <v>7121.85</v>
      </c>
      <c r="K1075" s="86">
        <f t="shared" si="33"/>
        <v>4203.0648999999994</v>
      </c>
      <c r="L1075" s="87" t="s">
        <v>67</v>
      </c>
      <c r="M1075" s="87" t="s">
        <v>68</v>
      </c>
      <c r="N1075" s="88" t="s">
        <v>78</v>
      </c>
    </row>
    <row r="1076" spans="1:14">
      <c r="A1076" s="81">
        <v>46100</v>
      </c>
      <c r="B1076" s="82" t="s">
        <v>1144</v>
      </c>
      <c r="C1076" s="82" t="s">
        <v>40</v>
      </c>
      <c r="D1076" s="82" t="s">
        <v>27</v>
      </c>
      <c r="E1076" s="82" t="s">
        <v>30</v>
      </c>
      <c r="F1076" s="83">
        <v>11</v>
      </c>
      <c r="G1076" s="84">
        <v>725</v>
      </c>
      <c r="H1076" s="85">
        <v>0.12</v>
      </c>
      <c r="I1076" s="86">
        <f t="shared" si="32"/>
        <v>7018</v>
      </c>
      <c r="J1076" s="86">
        <v>5104</v>
      </c>
      <c r="K1076" s="86">
        <f t="shared" si="33"/>
        <v>1914</v>
      </c>
      <c r="L1076" s="87" t="s">
        <v>67</v>
      </c>
      <c r="M1076" s="87" t="s">
        <v>68</v>
      </c>
      <c r="N1076" s="88" t="s">
        <v>74</v>
      </c>
    </row>
    <row r="1077" spans="1:14">
      <c r="A1077" s="81">
        <v>46100</v>
      </c>
      <c r="B1077" s="82" t="s">
        <v>1145</v>
      </c>
      <c r="C1077" s="82" t="s">
        <v>36</v>
      </c>
      <c r="D1077" s="82" t="s">
        <v>27</v>
      </c>
      <c r="E1077" s="82" t="s">
        <v>30</v>
      </c>
      <c r="F1077" s="83">
        <v>2</v>
      </c>
      <c r="G1077" s="84">
        <v>712.92</v>
      </c>
      <c r="H1077" s="85">
        <v>0</v>
      </c>
      <c r="I1077" s="86">
        <f t="shared" si="32"/>
        <v>1425.84</v>
      </c>
      <c r="J1077" s="86">
        <v>912.54</v>
      </c>
      <c r="K1077" s="86">
        <f t="shared" si="33"/>
        <v>513.29999999999995</v>
      </c>
      <c r="L1077" s="87" t="s">
        <v>67</v>
      </c>
      <c r="M1077" s="87" t="s">
        <v>68</v>
      </c>
      <c r="N1077" s="88" t="s">
        <v>71</v>
      </c>
    </row>
    <row r="1078" spans="1:14">
      <c r="A1078" s="81">
        <v>46101</v>
      </c>
      <c r="B1078" s="82" t="s">
        <v>1146</v>
      </c>
      <c r="C1078" s="82" t="s">
        <v>31</v>
      </c>
      <c r="D1078" s="82" t="s">
        <v>32</v>
      </c>
      <c r="E1078" s="82" t="s">
        <v>42</v>
      </c>
      <c r="F1078" s="83">
        <v>5</v>
      </c>
      <c r="G1078" s="84">
        <v>874.53</v>
      </c>
      <c r="H1078" s="85">
        <v>0.03</v>
      </c>
      <c r="I1078" s="86">
        <f t="shared" si="32"/>
        <v>4241.4704999999994</v>
      </c>
      <c r="J1078" s="86">
        <v>2667.32</v>
      </c>
      <c r="K1078" s="86">
        <f t="shared" si="33"/>
        <v>1574.1504999999993</v>
      </c>
      <c r="L1078" s="87" t="s">
        <v>63</v>
      </c>
      <c r="M1078" s="87" t="s">
        <v>60</v>
      </c>
      <c r="N1078" s="88" t="s">
        <v>61</v>
      </c>
    </row>
    <row r="1079" spans="1:14">
      <c r="A1079" s="81">
        <v>46102</v>
      </c>
      <c r="B1079" s="82" t="s">
        <v>1147</v>
      </c>
      <c r="C1079" s="82" t="s">
        <v>36</v>
      </c>
      <c r="D1079" s="82" t="s">
        <v>27</v>
      </c>
      <c r="E1079" s="82" t="s">
        <v>35</v>
      </c>
      <c r="F1079" s="83">
        <v>5</v>
      </c>
      <c r="G1079" s="84">
        <v>410.55</v>
      </c>
      <c r="H1079" s="85">
        <v>0.1</v>
      </c>
      <c r="I1079" s="86">
        <f t="shared" si="32"/>
        <v>1847.4750000000001</v>
      </c>
      <c r="J1079" s="86">
        <v>1231.6500000000001</v>
      </c>
      <c r="K1079" s="86">
        <f t="shared" si="33"/>
        <v>615.82500000000005</v>
      </c>
      <c r="L1079" s="87" t="s">
        <v>63</v>
      </c>
      <c r="M1079" s="87" t="s">
        <v>64</v>
      </c>
      <c r="N1079" s="88" t="s">
        <v>61</v>
      </c>
    </row>
    <row r="1080" spans="1:14">
      <c r="A1080" s="81">
        <v>46103</v>
      </c>
      <c r="B1080" s="82" t="s">
        <v>1148</v>
      </c>
      <c r="C1080" s="82" t="s">
        <v>40</v>
      </c>
      <c r="D1080" s="82" t="s">
        <v>32</v>
      </c>
      <c r="E1080" s="82" t="s">
        <v>46</v>
      </c>
      <c r="F1080" s="83">
        <v>8</v>
      </c>
      <c r="G1080" s="84">
        <v>111.86</v>
      </c>
      <c r="H1080" s="85">
        <v>0.08</v>
      </c>
      <c r="I1080" s="86">
        <f t="shared" si="32"/>
        <v>823.28960000000006</v>
      </c>
      <c r="J1080" s="86">
        <v>429.54</v>
      </c>
      <c r="K1080" s="86">
        <f t="shared" si="33"/>
        <v>393.74960000000004</v>
      </c>
      <c r="L1080" s="87" t="s">
        <v>67</v>
      </c>
      <c r="M1080" s="87" t="s">
        <v>60</v>
      </c>
      <c r="N1080" s="88" t="s">
        <v>69</v>
      </c>
    </row>
    <row r="1081" spans="1:14">
      <c r="A1081" s="81">
        <v>46104</v>
      </c>
      <c r="B1081" s="82" t="s">
        <v>1149</v>
      </c>
      <c r="C1081" s="82" t="s">
        <v>36</v>
      </c>
      <c r="D1081" s="82" t="s">
        <v>32</v>
      </c>
      <c r="E1081" s="82" t="s">
        <v>42</v>
      </c>
      <c r="F1081" s="83">
        <v>5</v>
      </c>
      <c r="G1081" s="84">
        <v>923.11</v>
      </c>
      <c r="H1081" s="85">
        <v>0.1</v>
      </c>
      <c r="I1081" s="86">
        <f t="shared" si="32"/>
        <v>4153.9949999999999</v>
      </c>
      <c r="J1081" s="86">
        <v>2815.49</v>
      </c>
      <c r="K1081" s="86">
        <f t="shared" si="33"/>
        <v>1338.5050000000001</v>
      </c>
      <c r="L1081" s="87" t="s">
        <v>63</v>
      </c>
      <c r="M1081" s="87" t="s">
        <v>64</v>
      </c>
      <c r="N1081" s="88" t="s">
        <v>71</v>
      </c>
    </row>
    <row r="1082" spans="1:14">
      <c r="A1082" s="81">
        <v>46104</v>
      </c>
      <c r="B1082" s="82" t="s">
        <v>1150</v>
      </c>
      <c r="C1082" s="82" t="s">
        <v>40</v>
      </c>
      <c r="D1082" s="82" t="s">
        <v>32</v>
      </c>
      <c r="E1082" s="82" t="s">
        <v>42</v>
      </c>
      <c r="F1082" s="83">
        <v>12</v>
      </c>
      <c r="G1082" s="84">
        <v>887.36</v>
      </c>
      <c r="H1082" s="85">
        <v>0.03</v>
      </c>
      <c r="I1082" s="86">
        <f t="shared" si="32"/>
        <v>10328.8704</v>
      </c>
      <c r="J1082" s="86">
        <v>6495.48</v>
      </c>
      <c r="K1082" s="86">
        <f t="shared" si="33"/>
        <v>3833.3904000000002</v>
      </c>
      <c r="L1082" s="87" t="s">
        <v>67</v>
      </c>
      <c r="M1082" s="87" t="s">
        <v>68</v>
      </c>
      <c r="N1082" s="88" t="s">
        <v>71</v>
      </c>
    </row>
    <row r="1083" spans="1:14">
      <c r="A1083" s="81">
        <v>46104</v>
      </c>
      <c r="B1083" s="82" t="s">
        <v>1151</v>
      </c>
      <c r="C1083" s="82" t="s">
        <v>31</v>
      </c>
      <c r="D1083" s="82" t="s">
        <v>27</v>
      </c>
      <c r="E1083" s="82" t="s">
        <v>30</v>
      </c>
      <c r="F1083" s="83">
        <v>5</v>
      </c>
      <c r="G1083" s="84">
        <v>770.9</v>
      </c>
      <c r="H1083" s="85">
        <v>0</v>
      </c>
      <c r="I1083" s="86">
        <f t="shared" si="32"/>
        <v>3854.5</v>
      </c>
      <c r="J1083" s="86">
        <v>2466.88</v>
      </c>
      <c r="K1083" s="86">
        <f t="shared" si="33"/>
        <v>1387.62</v>
      </c>
      <c r="L1083" s="87" t="s">
        <v>59</v>
      </c>
      <c r="M1083" s="87" t="s">
        <v>64</v>
      </c>
      <c r="N1083" s="88" t="s">
        <v>61</v>
      </c>
    </row>
    <row r="1084" spans="1:14">
      <c r="A1084" s="81">
        <v>46104</v>
      </c>
      <c r="B1084" s="82" t="s">
        <v>1152</v>
      </c>
      <c r="C1084" s="82" t="s">
        <v>40</v>
      </c>
      <c r="D1084" s="82" t="s">
        <v>37</v>
      </c>
      <c r="E1084" s="82" t="s">
        <v>47</v>
      </c>
      <c r="F1084" s="83">
        <v>3</v>
      </c>
      <c r="G1084" s="84">
        <v>142.22</v>
      </c>
      <c r="H1084" s="85">
        <v>0.05</v>
      </c>
      <c r="I1084" s="86">
        <f t="shared" si="32"/>
        <v>405.32699999999994</v>
      </c>
      <c r="J1084" s="86">
        <v>196.26</v>
      </c>
      <c r="K1084" s="86">
        <f t="shared" si="33"/>
        <v>209.06699999999995</v>
      </c>
      <c r="L1084" s="87" t="s">
        <v>67</v>
      </c>
      <c r="M1084" s="87" t="s">
        <v>64</v>
      </c>
      <c r="N1084" s="88" t="s">
        <v>61</v>
      </c>
    </row>
    <row r="1085" spans="1:14">
      <c r="A1085" s="81">
        <v>46105</v>
      </c>
      <c r="B1085" s="82" t="s">
        <v>1153</v>
      </c>
      <c r="C1085" s="82" t="s">
        <v>31</v>
      </c>
      <c r="D1085" s="82" t="s">
        <v>32</v>
      </c>
      <c r="E1085" s="82" t="s">
        <v>39</v>
      </c>
      <c r="F1085" s="83">
        <v>8</v>
      </c>
      <c r="G1085" s="84">
        <v>526.19000000000005</v>
      </c>
      <c r="H1085" s="85">
        <v>0.05</v>
      </c>
      <c r="I1085" s="86">
        <f t="shared" si="32"/>
        <v>3999.0440000000003</v>
      </c>
      <c r="J1085" s="86">
        <v>2399.4299999999998</v>
      </c>
      <c r="K1085" s="86">
        <f t="shared" si="33"/>
        <v>1599.6140000000005</v>
      </c>
      <c r="L1085" s="87" t="s">
        <v>59</v>
      </c>
      <c r="M1085" s="87" t="s">
        <v>60</v>
      </c>
      <c r="N1085" s="88" t="s">
        <v>78</v>
      </c>
    </row>
    <row r="1086" spans="1:14">
      <c r="A1086" s="81">
        <v>46106</v>
      </c>
      <c r="B1086" s="82" t="s">
        <v>1154</v>
      </c>
      <c r="C1086" s="82" t="s">
        <v>31</v>
      </c>
      <c r="D1086" s="82" t="s">
        <v>27</v>
      </c>
      <c r="E1086" s="82" t="s">
        <v>35</v>
      </c>
      <c r="F1086" s="83">
        <v>1</v>
      </c>
      <c r="G1086" s="84">
        <v>419.71</v>
      </c>
      <c r="H1086" s="85">
        <v>0</v>
      </c>
      <c r="I1086" s="86">
        <f t="shared" si="32"/>
        <v>419.71</v>
      </c>
      <c r="J1086" s="86">
        <v>251.83</v>
      </c>
      <c r="K1086" s="86">
        <f t="shared" si="33"/>
        <v>167.87999999999997</v>
      </c>
      <c r="L1086" s="87" t="s">
        <v>59</v>
      </c>
      <c r="M1086" s="87" t="s">
        <v>64</v>
      </c>
      <c r="N1086" s="88" t="s">
        <v>74</v>
      </c>
    </row>
    <row r="1087" spans="1:14">
      <c r="A1087" s="81">
        <v>46107</v>
      </c>
      <c r="B1087" s="82" t="s">
        <v>1155</v>
      </c>
      <c r="C1087" s="82" t="s">
        <v>31</v>
      </c>
      <c r="D1087" s="82" t="s">
        <v>27</v>
      </c>
      <c r="E1087" s="82" t="s">
        <v>25</v>
      </c>
      <c r="F1087" s="83">
        <v>5</v>
      </c>
      <c r="G1087" s="84">
        <v>1456.33</v>
      </c>
      <c r="H1087" s="85">
        <v>0</v>
      </c>
      <c r="I1087" s="86">
        <f t="shared" si="32"/>
        <v>7281.65</v>
      </c>
      <c r="J1087" s="86">
        <v>4951.5200000000004</v>
      </c>
      <c r="K1087" s="86">
        <f t="shared" si="33"/>
        <v>2330.1299999999992</v>
      </c>
      <c r="L1087" s="87" t="s">
        <v>67</v>
      </c>
      <c r="M1087" s="87" t="s">
        <v>60</v>
      </c>
      <c r="N1087" s="88" t="s">
        <v>71</v>
      </c>
    </row>
    <row r="1088" spans="1:14">
      <c r="A1088" s="81">
        <v>46107</v>
      </c>
      <c r="B1088" s="82" t="s">
        <v>1156</v>
      </c>
      <c r="C1088" s="82" t="s">
        <v>31</v>
      </c>
      <c r="D1088" s="82" t="s">
        <v>37</v>
      </c>
      <c r="E1088" s="82" t="s">
        <v>48</v>
      </c>
      <c r="F1088" s="83">
        <v>4</v>
      </c>
      <c r="G1088" s="84">
        <v>77.7</v>
      </c>
      <c r="H1088" s="85">
        <v>0</v>
      </c>
      <c r="I1088" s="86">
        <f t="shared" si="32"/>
        <v>310.8</v>
      </c>
      <c r="J1088" s="86">
        <v>130.54</v>
      </c>
      <c r="K1088" s="86">
        <f t="shared" si="33"/>
        <v>180.26000000000002</v>
      </c>
      <c r="L1088" s="87" t="s">
        <v>59</v>
      </c>
      <c r="M1088" s="87" t="s">
        <v>64</v>
      </c>
      <c r="N1088" s="88" t="s">
        <v>65</v>
      </c>
    </row>
    <row r="1089" spans="1:14">
      <c r="A1089" s="81">
        <v>46107</v>
      </c>
      <c r="B1089" s="82" t="s">
        <v>1157</v>
      </c>
      <c r="C1089" s="82" t="s">
        <v>40</v>
      </c>
      <c r="D1089" s="82" t="s">
        <v>32</v>
      </c>
      <c r="E1089" s="82" t="s">
        <v>46</v>
      </c>
      <c r="F1089" s="83">
        <v>5</v>
      </c>
      <c r="G1089" s="84">
        <v>112.91</v>
      </c>
      <c r="H1089" s="85">
        <v>0.03</v>
      </c>
      <c r="I1089" s="86">
        <f t="shared" si="32"/>
        <v>547.61349999999993</v>
      </c>
      <c r="J1089" s="86">
        <v>270.98</v>
      </c>
      <c r="K1089" s="86">
        <f t="shared" si="33"/>
        <v>276.63349999999991</v>
      </c>
      <c r="L1089" s="87" t="s">
        <v>59</v>
      </c>
      <c r="M1089" s="87" t="s">
        <v>64</v>
      </c>
      <c r="N1089" s="88" t="s">
        <v>65</v>
      </c>
    </row>
    <row r="1090" spans="1:14">
      <c r="A1090" s="81">
        <v>46109</v>
      </c>
      <c r="B1090" s="82" t="s">
        <v>1158</v>
      </c>
      <c r="C1090" s="82" t="s">
        <v>31</v>
      </c>
      <c r="D1090" s="82" t="s">
        <v>27</v>
      </c>
      <c r="E1090" s="82" t="s">
        <v>30</v>
      </c>
      <c r="F1090" s="83">
        <v>7</v>
      </c>
      <c r="G1090" s="84">
        <v>724.14</v>
      </c>
      <c r="H1090" s="85">
        <v>0.03</v>
      </c>
      <c r="I1090" s="86">
        <f t="shared" ref="I1090:I1153" si="34">F1090*G1090*(1-H1090)</f>
        <v>4916.9105999999992</v>
      </c>
      <c r="J1090" s="86">
        <v>3244.15</v>
      </c>
      <c r="K1090" s="86">
        <f t="shared" ref="K1090:K1153" si="35">I1090-J1090</f>
        <v>1672.7605999999992</v>
      </c>
      <c r="L1090" s="87" t="s">
        <v>67</v>
      </c>
      <c r="M1090" s="87" t="s">
        <v>64</v>
      </c>
      <c r="N1090" s="88" t="s">
        <v>74</v>
      </c>
    </row>
    <row r="1091" spans="1:14">
      <c r="A1091" s="81">
        <v>46109</v>
      </c>
      <c r="B1091" s="82" t="s">
        <v>1159</v>
      </c>
      <c r="C1091" s="82" t="s">
        <v>36</v>
      </c>
      <c r="D1091" s="82" t="s">
        <v>27</v>
      </c>
      <c r="E1091" s="82" t="s">
        <v>35</v>
      </c>
      <c r="F1091" s="83">
        <v>1</v>
      </c>
      <c r="G1091" s="84">
        <v>419.58</v>
      </c>
      <c r="H1091" s="85">
        <v>0.05</v>
      </c>
      <c r="I1091" s="86">
        <f t="shared" si="34"/>
        <v>398.60099999999994</v>
      </c>
      <c r="J1091" s="86">
        <v>251.75</v>
      </c>
      <c r="K1091" s="86">
        <f t="shared" si="35"/>
        <v>146.85099999999994</v>
      </c>
      <c r="L1091" s="87" t="s">
        <v>63</v>
      </c>
      <c r="M1091" s="87" t="s">
        <v>60</v>
      </c>
      <c r="N1091" s="88" t="s">
        <v>69</v>
      </c>
    </row>
    <row r="1092" spans="1:14">
      <c r="A1092" s="81">
        <v>46109</v>
      </c>
      <c r="B1092" s="82" t="s">
        <v>1160</v>
      </c>
      <c r="C1092" s="82" t="s">
        <v>31</v>
      </c>
      <c r="D1092" s="82" t="s">
        <v>32</v>
      </c>
      <c r="E1092" s="82" t="s">
        <v>46</v>
      </c>
      <c r="F1092" s="83">
        <v>4</v>
      </c>
      <c r="G1092" s="84">
        <v>111.14</v>
      </c>
      <c r="H1092" s="85">
        <v>0.05</v>
      </c>
      <c r="I1092" s="86">
        <f t="shared" si="34"/>
        <v>422.33199999999999</v>
      </c>
      <c r="J1092" s="86">
        <v>213.39</v>
      </c>
      <c r="K1092" s="86">
        <f t="shared" si="35"/>
        <v>208.94200000000001</v>
      </c>
      <c r="L1092" s="87" t="s">
        <v>63</v>
      </c>
      <c r="M1092" s="87" t="s">
        <v>68</v>
      </c>
      <c r="N1092" s="88" t="s">
        <v>78</v>
      </c>
    </row>
    <row r="1093" spans="1:14">
      <c r="A1093" s="81">
        <v>46110</v>
      </c>
      <c r="B1093" s="82" t="s">
        <v>1161</v>
      </c>
      <c r="C1093" s="82" t="s">
        <v>36</v>
      </c>
      <c r="D1093" s="82" t="s">
        <v>32</v>
      </c>
      <c r="E1093" s="82" t="s">
        <v>46</v>
      </c>
      <c r="F1093" s="83">
        <v>4</v>
      </c>
      <c r="G1093" s="84">
        <v>111.3</v>
      </c>
      <c r="H1093" s="85">
        <v>0.05</v>
      </c>
      <c r="I1093" s="86">
        <f t="shared" si="34"/>
        <v>422.94</v>
      </c>
      <c r="J1093" s="86">
        <v>213.7</v>
      </c>
      <c r="K1093" s="86">
        <f t="shared" si="35"/>
        <v>209.24</v>
      </c>
      <c r="L1093" s="87" t="s">
        <v>59</v>
      </c>
      <c r="M1093" s="87" t="s">
        <v>60</v>
      </c>
      <c r="N1093" s="88" t="s">
        <v>71</v>
      </c>
    </row>
    <row r="1094" spans="1:14">
      <c r="A1094" s="81">
        <v>46110</v>
      </c>
      <c r="B1094" s="82" t="s">
        <v>1162</v>
      </c>
      <c r="C1094" s="82" t="s">
        <v>36</v>
      </c>
      <c r="D1094" s="82" t="s">
        <v>27</v>
      </c>
      <c r="E1094" s="82" t="s">
        <v>35</v>
      </c>
      <c r="F1094" s="83">
        <v>6</v>
      </c>
      <c r="G1094" s="84">
        <v>433.81</v>
      </c>
      <c r="H1094" s="85">
        <v>0.08</v>
      </c>
      <c r="I1094" s="86">
        <f t="shared" si="34"/>
        <v>2394.6312000000003</v>
      </c>
      <c r="J1094" s="86">
        <v>1561.72</v>
      </c>
      <c r="K1094" s="86">
        <f t="shared" si="35"/>
        <v>832.91120000000024</v>
      </c>
      <c r="L1094" s="87" t="s">
        <v>67</v>
      </c>
      <c r="M1094" s="87" t="s">
        <v>64</v>
      </c>
      <c r="N1094" s="88" t="s">
        <v>65</v>
      </c>
    </row>
    <row r="1095" spans="1:14">
      <c r="A1095" s="81">
        <v>46111</v>
      </c>
      <c r="B1095" s="82" t="s">
        <v>1163</v>
      </c>
      <c r="C1095" s="82" t="s">
        <v>36</v>
      </c>
      <c r="D1095" s="82" t="s">
        <v>27</v>
      </c>
      <c r="E1095" s="82" t="s">
        <v>25</v>
      </c>
      <c r="F1095" s="83">
        <v>5</v>
      </c>
      <c r="G1095" s="84">
        <v>1385.53</v>
      </c>
      <c r="H1095" s="85">
        <v>0.08</v>
      </c>
      <c r="I1095" s="86">
        <f t="shared" si="34"/>
        <v>6373.4380000000001</v>
      </c>
      <c r="J1095" s="86">
        <v>4710.8</v>
      </c>
      <c r="K1095" s="86">
        <f t="shared" si="35"/>
        <v>1662.6379999999999</v>
      </c>
      <c r="L1095" s="87" t="s">
        <v>67</v>
      </c>
      <c r="M1095" s="87" t="s">
        <v>60</v>
      </c>
      <c r="N1095" s="88" t="s">
        <v>61</v>
      </c>
    </row>
    <row r="1096" spans="1:14">
      <c r="A1096" s="81">
        <v>46111</v>
      </c>
      <c r="B1096" s="82" t="s">
        <v>1164</v>
      </c>
      <c r="C1096" s="82" t="s">
        <v>31</v>
      </c>
      <c r="D1096" s="82" t="s">
        <v>37</v>
      </c>
      <c r="E1096" s="82" t="s">
        <v>48</v>
      </c>
      <c r="F1096" s="83">
        <v>2</v>
      </c>
      <c r="G1096" s="84">
        <v>81.459999999999994</v>
      </c>
      <c r="H1096" s="85">
        <v>0.08</v>
      </c>
      <c r="I1096" s="86">
        <f t="shared" si="34"/>
        <v>149.88640000000001</v>
      </c>
      <c r="J1096" s="86">
        <v>68.430000000000007</v>
      </c>
      <c r="K1096" s="86">
        <f t="shared" si="35"/>
        <v>81.456400000000002</v>
      </c>
      <c r="L1096" s="87" t="s">
        <v>67</v>
      </c>
      <c r="M1096" s="87" t="s">
        <v>60</v>
      </c>
      <c r="N1096" s="88" t="s">
        <v>65</v>
      </c>
    </row>
    <row r="1097" spans="1:14">
      <c r="A1097" s="81">
        <v>46111</v>
      </c>
      <c r="B1097" s="82" t="s">
        <v>1165</v>
      </c>
      <c r="C1097" s="82" t="s">
        <v>40</v>
      </c>
      <c r="D1097" s="82" t="s">
        <v>32</v>
      </c>
      <c r="E1097" s="82" t="s">
        <v>39</v>
      </c>
      <c r="F1097" s="83">
        <v>4</v>
      </c>
      <c r="G1097" s="84">
        <v>533.92999999999995</v>
      </c>
      <c r="H1097" s="85">
        <v>0.12</v>
      </c>
      <c r="I1097" s="86">
        <f t="shared" si="34"/>
        <v>1879.4335999999998</v>
      </c>
      <c r="J1097" s="86">
        <v>1217.3599999999999</v>
      </c>
      <c r="K1097" s="86">
        <f t="shared" si="35"/>
        <v>662.07359999999994</v>
      </c>
      <c r="L1097" s="87" t="s">
        <v>59</v>
      </c>
      <c r="M1097" s="87" t="s">
        <v>68</v>
      </c>
      <c r="N1097" s="88" t="s">
        <v>69</v>
      </c>
    </row>
    <row r="1098" spans="1:14">
      <c r="A1098" s="81">
        <v>46113</v>
      </c>
      <c r="B1098" s="82" t="s">
        <v>1166</v>
      </c>
      <c r="C1098" s="82" t="s">
        <v>26</v>
      </c>
      <c r="D1098" s="82" t="s">
        <v>37</v>
      </c>
      <c r="E1098" s="82" t="s">
        <v>47</v>
      </c>
      <c r="F1098" s="83">
        <v>4</v>
      </c>
      <c r="G1098" s="84">
        <v>149.44</v>
      </c>
      <c r="H1098" s="85">
        <v>0.1</v>
      </c>
      <c r="I1098" s="86">
        <f t="shared" si="34"/>
        <v>537.98400000000004</v>
      </c>
      <c r="J1098" s="86">
        <v>274.97000000000003</v>
      </c>
      <c r="K1098" s="86">
        <f t="shared" si="35"/>
        <v>263.01400000000001</v>
      </c>
      <c r="L1098" s="87" t="s">
        <v>63</v>
      </c>
      <c r="M1098" s="87" t="s">
        <v>68</v>
      </c>
      <c r="N1098" s="88" t="s">
        <v>65</v>
      </c>
    </row>
    <row r="1099" spans="1:14">
      <c r="A1099" s="81">
        <v>46114</v>
      </c>
      <c r="B1099" s="82" t="s">
        <v>1167</v>
      </c>
      <c r="C1099" s="82" t="s">
        <v>31</v>
      </c>
      <c r="D1099" s="82" t="s">
        <v>27</v>
      </c>
      <c r="E1099" s="82" t="s">
        <v>35</v>
      </c>
      <c r="F1099" s="83">
        <v>4</v>
      </c>
      <c r="G1099" s="84">
        <v>447.47</v>
      </c>
      <c r="H1099" s="85">
        <v>0.05</v>
      </c>
      <c r="I1099" s="86">
        <f t="shared" si="34"/>
        <v>1700.386</v>
      </c>
      <c r="J1099" s="86">
        <v>1073.93</v>
      </c>
      <c r="K1099" s="86">
        <f t="shared" si="35"/>
        <v>626.4559999999999</v>
      </c>
      <c r="L1099" s="87" t="s">
        <v>67</v>
      </c>
      <c r="M1099" s="87" t="s">
        <v>60</v>
      </c>
      <c r="N1099" s="88" t="s">
        <v>61</v>
      </c>
    </row>
    <row r="1100" spans="1:14">
      <c r="A1100" s="81">
        <v>46114</v>
      </c>
      <c r="B1100" s="82" t="s">
        <v>1168</v>
      </c>
      <c r="C1100" s="82" t="s">
        <v>36</v>
      </c>
      <c r="D1100" s="82" t="s">
        <v>27</v>
      </c>
      <c r="E1100" s="82" t="s">
        <v>35</v>
      </c>
      <c r="F1100" s="83">
        <v>6</v>
      </c>
      <c r="G1100" s="84">
        <v>417.13</v>
      </c>
      <c r="H1100" s="85">
        <v>0.08</v>
      </c>
      <c r="I1100" s="86">
        <f t="shared" si="34"/>
        <v>2302.5576000000001</v>
      </c>
      <c r="J1100" s="86">
        <v>1501.67</v>
      </c>
      <c r="K1100" s="86">
        <f t="shared" si="35"/>
        <v>800.88760000000002</v>
      </c>
      <c r="L1100" s="87" t="s">
        <v>59</v>
      </c>
      <c r="M1100" s="87" t="s">
        <v>64</v>
      </c>
      <c r="N1100" s="88" t="s">
        <v>71</v>
      </c>
    </row>
    <row r="1101" spans="1:14">
      <c r="A1101" s="81">
        <v>46114</v>
      </c>
      <c r="B1101" s="82" t="s">
        <v>1169</v>
      </c>
      <c r="C1101" s="82" t="s">
        <v>26</v>
      </c>
      <c r="D1101" s="82" t="s">
        <v>37</v>
      </c>
      <c r="E1101" s="82" t="s">
        <v>48</v>
      </c>
      <c r="F1101" s="83">
        <v>6</v>
      </c>
      <c r="G1101" s="84">
        <v>84.03</v>
      </c>
      <c r="H1101" s="85">
        <v>0.1</v>
      </c>
      <c r="I1101" s="86">
        <f t="shared" si="34"/>
        <v>453.762</v>
      </c>
      <c r="J1101" s="86">
        <v>211.76</v>
      </c>
      <c r="K1101" s="86">
        <f t="shared" si="35"/>
        <v>242.00200000000001</v>
      </c>
      <c r="L1101" s="87" t="s">
        <v>63</v>
      </c>
      <c r="M1101" s="87" t="s">
        <v>60</v>
      </c>
      <c r="N1101" s="88" t="s">
        <v>61</v>
      </c>
    </row>
    <row r="1102" spans="1:14">
      <c r="A1102" s="81">
        <v>46114</v>
      </c>
      <c r="B1102" s="82" t="s">
        <v>1170</v>
      </c>
      <c r="C1102" s="82" t="s">
        <v>36</v>
      </c>
      <c r="D1102" s="82" t="s">
        <v>37</v>
      </c>
      <c r="E1102" s="82" t="s">
        <v>48</v>
      </c>
      <c r="F1102" s="83">
        <v>2</v>
      </c>
      <c r="G1102" s="84">
        <v>78.78</v>
      </c>
      <c r="H1102" s="85">
        <v>0.03</v>
      </c>
      <c r="I1102" s="86">
        <f t="shared" si="34"/>
        <v>152.83320000000001</v>
      </c>
      <c r="J1102" s="86">
        <v>66.180000000000007</v>
      </c>
      <c r="K1102" s="86">
        <f t="shared" si="35"/>
        <v>86.653199999999998</v>
      </c>
      <c r="L1102" s="87" t="s">
        <v>59</v>
      </c>
      <c r="M1102" s="87" t="s">
        <v>68</v>
      </c>
      <c r="N1102" s="88" t="s">
        <v>69</v>
      </c>
    </row>
    <row r="1103" spans="1:14">
      <c r="A1103" s="81">
        <v>46115</v>
      </c>
      <c r="B1103" s="82" t="s">
        <v>1171</v>
      </c>
      <c r="C1103" s="82" t="s">
        <v>36</v>
      </c>
      <c r="D1103" s="82" t="s">
        <v>27</v>
      </c>
      <c r="E1103" s="82" t="s">
        <v>35</v>
      </c>
      <c r="F1103" s="83">
        <v>10</v>
      </c>
      <c r="G1103" s="84">
        <v>428.93</v>
      </c>
      <c r="H1103" s="85">
        <v>0.12</v>
      </c>
      <c r="I1103" s="86">
        <f t="shared" si="34"/>
        <v>3774.5840000000003</v>
      </c>
      <c r="J1103" s="86">
        <v>2573.58</v>
      </c>
      <c r="K1103" s="86">
        <f t="shared" si="35"/>
        <v>1201.0040000000004</v>
      </c>
      <c r="L1103" s="87" t="s">
        <v>67</v>
      </c>
      <c r="M1103" s="87" t="s">
        <v>68</v>
      </c>
      <c r="N1103" s="88" t="s">
        <v>69</v>
      </c>
    </row>
    <row r="1104" spans="1:14">
      <c r="A1104" s="81">
        <v>46116</v>
      </c>
      <c r="B1104" s="82" t="s">
        <v>1172</v>
      </c>
      <c r="C1104" s="82" t="s">
        <v>36</v>
      </c>
      <c r="D1104" s="82" t="s">
        <v>27</v>
      </c>
      <c r="E1104" s="82" t="s">
        <v>25</v>
      </c>
      <c r="F1104" s="83">
        <v>5</v>
      </c>
      <c r="G1104" s="84">
        <v>1375.5</v>
      </c>
      <c r="H1104" s="85">
        <v>0.08</v>
      </c>
      <c r="I1104" s="86">
        <f t="shared" si="34"/>
        <v>6327.3</v>
      </c>
      <c r="J1104" s="86">
        <v>4676.7</v>
      </c>
      <c r="K1104" s="86">
        <f t="shared" si="35"/>
        <v>1650.6000000000004</v>
      </c>
      <c r="L1104" s="87" t="s">
        <v>67</v>
      </c>
      <c r="M1104" s="87" t="s">
        <v>68</v>
      </c>
      <c r="N1104" s="88" t="s">
        <v>65</v>
      </c>
    </row>
    <row r="1105" spans="1:14">
      <c r="A1105" s="81">
        <v>46116</v>
      </c>
      <c r="B1105" s="82" t="s">
        <v>1173</v>
      </c>
      <c r="C1105" s="82" t="s">
        <v>36</v>
      </c>
      <c r="D1105" s="82" t="s">
        <v>27</v>
      </c>
      <c r="E1105" s="82" t="s">
        <v>35</v>
      </c>
      <c r="F1105" s="83">
        <v>9</v>
      </c>
      <c r="G1105" s="84">
        <v>430.28</v>
      </c>
      <c r="H1105" s="85">
        <v>0.08</v>
      </c>
      <c r="I1105" s="86">
        <f t="shared" si="34"/>
        <v>3562.7183999999997</v>
      </c>
      <c r="J1105" s="86">
        <v>2323.5100000000002</v>
      </c>
      <c r="K1105" s="86">
        <f t="shared" si="35"/>
        <v>1239.2083999999995</v>
      </c>
      <c r="L1105" s="87" t="s">
        <v>63</v>
      </c>
      <c r="M1105" s="87" t="s">
        <v>60</v>
      </c>
      <c r="N1105" s="88" t="s">
        <v>71</v>
      </c>
    </row>
    <row r="1106" spans="1:14">
      <c r="A1106" s="81">
        <v>46117</v>
      </c>
      <c r="B1106" s="82" t="s">
        <v>1174</v>
      </c>
      <c r="C1106" s="82" t="s">
        <v>40</v>
      </c>
      <c r="D1106" s="82" t="s">
        <v>32</v>
      </c>
      <c r="E1106" s="82" t="s">
        <v>39</v>
      </c>
      <c r="F1106" s="83">
        <v>5</v>
      </c>
      <c r="G1106" s="84">
        <v>513.08000000000004</v>
      </c>
      <c r="H1106" s="85">
        <v>0.1</v>
      </c>
      <c r="I1106" s="86">
        <f t="shared" si="34"/>
        <v>2308.86</v>
      </c>
      <c r="J1106" s="86">
        <v>1462.28</v>
      </c>
      <c r="K1106" s="86">
        <f t="shared" si="35"/>
        <v>846.58000000000015</v>
      </c>
      <c r="L1106" s="87" t="s">
        <v>63</v>
      </c>
      <c r="M1106" s="87" t="s">
        <v>68</v>
      </c>
      <c r="N1106" s="88" t="s">
        <v>65</v>
      </c>
    </row>
    <row r="1107" spans="1:14">
      <c r="A1107" s="81">
        <v>46119</v>
      </c>
      <c r="B1107" s="82" t="s">
        <v>1175</v>
      </c>
      <c r="C1107" s="82" t="s">
        <v>36</v>
      </c>
      <c r="D1107" s="82" t="s">
        <v>27</v>
      </c>
      <c r="E1107" s="82" t="s">
        <v>25</v>
      </c>
      <c r="F1107" s="83">
        <v>1</v>
      </c>
      <c r="G1107" s="84">
        <v>1373.21</v>
      </c>
      <c r="H1107" s="85">
        <v>0.05</v>
      </c>
      <c r="I1107" s="86">
        <f t="shared" si="34"/>
        <v>1304.5495000000001</v>
      </c>
      <c r="J1107" s="86">
        <v>933.78</v>
      </c>
      <c r="K1107" s="86">
        <f t="shared" si="35"/>
        <v>370.76950000000011</v>
      </c>
      <c r="L1107" s="87" t="s">
        <v>67</v>
      </c>
      <c r="M1107" s="87" t="s">
        <v>64</v>
      </c>
      <c r="N1107" s="88" t="s">
        <v>74</v>
      </c>
    </row>
    <row r="1108" spans="1:14">
      <c r="A1108" s="81">
        <v>46119</v>
      </c>
      <c r="B1108" s="82" t="s">
        <v>1176</v>
      </c>
      <c r="C1108" s="82" t="s">
        <v>31</v>
      </c>
      <c r="D1108" s="82" t="s">
        <v>32</v>
      </c>
      <c r="E1108" s="82" t="s">
        <v>39</v>
      </c>
      <c r="F1108" s="83">
        <v>7</v>
      </c>
      <c r="G1108" s="84">
        <v>492.34</v>
      </c>
      <c r="H1108" s="85">
        <v>0.1</v>
      </c>
      <c r="I1108" s="86">
        <f t="shared" si="34"/>
        <v>3101.7419999999997</v>
      </c>
      <c r="J1108" s="86">
        <v>1964.44</v>
      </c>
      <c r="K1108" s="86">
        <f t="shared" si="35"/>
        <v>1137.3019999999997</v>
      </c>
      <c r="L1108" s="87" t="s">
        <v>59</v>
      </c>
      <c r="M1108" s="87" t="s">
        <v>68</v>
      </c>
      <c r="N1108" s="88" t="s">
        <v>65</v>
      </c>
    </row>
    <row r="1109" spans="1:14">
      <c r="A1109" s="81">
        <v>46119</v>
      </c>
      <c r="B1109" s="82" t="s">
        <v>1177</v>
      </c>
      <c r="C1109" s="82" t="s">
        <v>40</v>
      </c>
      <c r="D1109" s="82" t="s">
        <v>37</v>
      </c>
      <c r="E1109" s="82" t="s">
        <v>48</v>
      </c>
      <c r="F1109" s="83">
        <v>6</v>
      </c>
      <c r="G1109" s="84">
        <v>81.17</v>
      </c>
      <c r="H1109" s="85">
        <v>0.12</v>
      </c>
      <c r="I1109" s="86">
        <f t="shared" si="34"/>
        <v>428.57759999999996</v>
      </c>
      <c r="J1109" s="86">
        <v>204.55</v>
      </c>
      <c r="K1109" s="86">
        <f t="shared" si="35"/>
        <v>224.02759999999995</v>
      </c>
      <c r="L1109" s="87" t="s">
        <v>67</v>
      </c>
      <c r="M1109" s="87" t="s">
        <v>64</v>
      </c>
      <c r="N1109" s="88" t="s">
        <v>78</v>
      </c>
    </row>
    <row r="1110" spans="1:14">
      <c r="A1110" s="81">
        <v>46121</v>
      </c>
      <c r="B1110" s="82" t="s">
        <v>1178</v>
      </c>
      <c r="C1110" s="82" t="s">
        <v>26</v>
      </c>
      <c r="D1110" s="82" t="s">
        <v>37</v>
      </c>
      <c r="E1110" s="82" t="s">
        <v>48</v>
      </c>
      <c r="F1110" s="83">
        <v>6</v>
      </c>
      <c r="G1110" s="84">
        <v>83.81</v>
      </c>
      <c r="H1110" s="85">
        <v>0.05</v>
      </c>
      <c r="I1110" s="86">
        <f t="shared" si="34"/>
        <v>477.71699999999998</v>
      </c>
      <c r="J1110" s="86">
        <v>211.2</v>
      </c>
      <c r="K1110" s="86">
        <f t="shared" si="35"/>
        <v>266.517</v>
      </c>
      <c r="L1110" s="87" t="s">
        <v>63</v>
      </c>
      <c r="M1110" s="87" t="s">
        <v>64</v>
      </c>
      <c r="N1110" s="88" t="s">
        <v>61</v>
      </c>
    </row>
    <row r="1111" spans="1:14">
      <c r="A1111" s="81">
        <v>46121</v>
      </c>
      <c r="B1111" s="82" t="s">
        <v>1179</v>
      </c>
      <c r="C1111" s="82" t="s">
        <v>26</v>
      </c>
      <c r="D1111" s="82" t="s">
        <v>27</v>
      </c>
      <c r="E1111" s="82" t="s">
        <v>35</v>
      </c>
      <c r="F1111" s="83">
        <v>5</v>
      </c>
      <c r="G1111" s="84">
        <v>443.95</v>
      </c>
      <c r="H1111" s="85">
        <v>0.08</v>
      </c>
      <c r="I1111" s="86">
        <f t="shared" si="34"/>
        <v>2042.17</v>
      </c>
      <c r="J1111" s="86">
        <v>1331.85</v>
      </c>
      <c r="K1111" s="86">
        <f t="shared" si="35"/>
        <v>710.32000000000016</v>
      </c>
      <c r="L1111" s="87" t="s">
        <v>63</v>
      </c>
      <c r="M1111" s="87" t="s">
        <v>68</v>
      </c>
      <c r="N1111" s="88" t="s">
        <v>65</v>
      </c>
    </row>
    <row r="1112" spans="1:14">
      <c r="A1112" s="81">
        <v>46122</v>
      </c>
      <c r="B1112" s="82" t="s">
        <v>1180</v>
      </c>
      <c r="C1112" s="82" t="s">
        <v>40</v>
      </c>
      <c r="D1112" s="82" t="s">
        <v>32</v>
      </c>
      <c r="E1112" s="82" t="s">
        <v>46</v>
      </c>
      <c r="F1112" s="83">
        <v>4</v>
      </c>
      <c r="G1112" s="84">
        <v>114</v>
      </c>
      <c r="H1112" s="85">
        <v>0.03</v>
      </c>
      <c r="I1112" s="86">
        <f t="shared" si="34"/>
        <v>442.32</v>
      </c>
      <c r="J1112" s="86">
        <v>218.88</v>
      </c>
      <c r="K1112" s="86">
        <f t="shared" si="35"/>
        <v>223.44</v>
      </c>
      <c r="L1112" s="87" t="s">
        <v>59</v>
      </c>
      <c r="M1112" s="87" t="s">
        <v>60</v>
      </c>
      <c r="N1112" s="88" t="s">
        <v>78</v>
      </c>
    </row>
    <row r="1113" spans="1:14">
      <c r="A1113" s="81">
        <v>46122</v>
      </c>
      <c r="B1113" s="82" t="s">
        <v>1181</v>
      </c>
      <c r="C1113" s="82" t="s">
        <v>31</v>
      </c>
      <c r="D1113" s="82" t="s">
        <v>27</v>
      </c>
      <c r="E1113" s="82" t="s">
        <v>30</v>
      </c>
      <c r="F1113" s="83">
        <v>3</v>
      </c>
      <c r="G1113" s="84">
        <v>774.02</v>
      </c>
      <c r="H1113" s="85">
        <v>0.03</v>
      </c>
      <c r="I1113" s="86">
        <f t="shared" si="34"/>
        <v>2252.3982000000001</v>
      </c>
      <c r="J1113" s="86">
        <v>1486.12</v>
      </c>
      <c r="K1113" s="86">
        <f t="shared" si="35"/>
        <v>766.2782000000002</v>
      </c>
      <c r="L1113" s="87" t="s">
        <v>67</v>
      </c>
      <c r="M1113" s="87" t="s">
        <v>68</v>
      </c>
      <c r="N1113" s="88" t="s">
        <v>69</v>
      </c>
    </row>
    <row r="1114" spans="1:14">
      <c r="A1114" s="81">
        <v>46122</v>
      </c>
      <c r="B1114" s="82" t="s">
        <v>1182</v>
      </c>
      <c r="C1114" s="82" t="s">
        <v>31</v>
      </c>
      <c r="D1114" s="82" t="s">
        <v>32</v>
      </c>
      <c r="E1114" s="82" t="s">
        <v>46</v>
      </c>
      <c r="F1114" s="83">
        <v>5</v>
      </c>
      <c r="G1114" s="84">
        <v>114.4</v>
      </c>
      <c r="H1114" s="85">
        <v>0.1</v>
      </c>
      <c r="I1114" s="86">
        <f t="shared" si="34"/>
        <v>514.80000000000007</v>
      </c>
      <c r="J1114" s="86">
        <v>274.56</v>
      </c>
      <c r="K1114" s="86">
        <f t="shared" si="35"/>
        <v>240.24000000000007</v>
      </c>
      <c r="L1114" s="87" t="s">
        <v>59</v>
      </c>
      <c r="M1114" s="87" t="s">
        <v>68</v>
      </c>
      <c r="N1114" s="88" t="s">
        <v>71</v>
      </c>
    </row>
    <row r="1115" spans="1:14">
      <c r="A1115" s="81">
        <v>46122</v>
      </c>
      <c r="B1115" s="82" t="s">
        <v>1183</v>
      </c>
      <c r="C1115" s="82" t="s">
        <v>31</v>
      </c>
      <c r="D1115" s="82" t="s">
        <v>27</v>
      </c>
      <c r="E1115" s="82" t="s">
        <v>35</v>
      </c>
      <c r="F1115" s="83">
        <v>8</v>
      </c>
      <c r="G1115" s="84">
        <v>443.07</v>
      </c>
      <c r="H1115" s="85">
        <v>0.1</v>
      </c>
      <c r="I1115" s="86">
        <f t="shared" si="34"/>
        <v>3190.1039999999998</v>
      </c>
      <c r="J1115" s="86">
        <v>2126.7399999999998</v>
      </c>
      <c r="K1115" s="86">
        <f t="shared" si="35"/>
        <v>1063.364</v>
      </c>
      <c r="L1115" s="87" t="s">
        <v>63</v>
      </c>
      <c r="M1115" s="87" t="s">
        <v>68</v>
      </c>
      <c r="N1115" s="88" t="s">
        <v>69</v>
      </c>
    </row>
    <row r="1116" spans="1:14">
      <c r="A1116" s="81">
        <v>46123</v>
      </c>
      <c r="B1116" s="82" t="s">
        <v>1184</v>
      </c>
      <c r="C1116" s="82" t="s">
        <v>26</v>
      </c>
      <c r="D1116" s="82" t="s">
        <v>27</v>
      </c>
      <c r="E1116" s="82" t="s">
        <v>35</v>
      </c>
      <c r="F1116" s="83">
        <v>8</v>
      </c>
      <c r="G1116" s="84">
        <v>426.51</v>
      </c>
      <c r="H1116" s="85">
        <v>0.03</v>
      </c>
      <c r="I1116" s="86">
        <f t="shared" si="34"/>
        <v>3309.7175999999999</v>
      </c>
      <c r="J1116" s="86">
        <v>2047.25</v>
      </c>
      <c r="K1116" s="86">
        <f t="shared" si="35"/>
        <v>1262.4675999999999</v>
      </c>
      <c r="L1116" s="87" t="s">
        <v>67</v>
      </c>
      <c r="M1116" s="87" t="s">
        <v>64</v>
      </c>
      <c r="N1116" s="88" t="s">
        <v>65</v>
      </c>
    </row>
    <row r="1117" spans="1:14">
      <c r="A1117" s="81">
        <v>46124</v>
      </c>
      <c r="B1117" s="82" t="s">
        <v>1185</v>
      </c>
      <c r="C1117" s="82" t="s">
        <v>36</v>
      </c>
      <c r="D1117" s="82" t="s">
        <v>32</v>
      </c>
      <c r="E1117" s="82" t="s">
        <v>46</v>
      </c>
      <c r="F1117" s="83">
        <v>11</v>
      </c>
      <c r="G1117" s="84">
        <v>107.81</v>
      </c>
      <c r="H1117" s="85">
        <v>0</v>
      </c>
      <c r="I1117" s="86">
        <f t="shared" si="34"/>
        <v>1185.9100000000001</v>
      </c>
      <c r="J1117" s="86">
        <v>569.24</v>
      </c>
      <c r="K1117" s="86">
        <f t="shared" si="35"/>
        <v>616.67000000000007</v>
      </c>
      <c r="L1117" s="87" t="s">
        <v>67</v>
      </c>
      <c r="M1117" s="87" t="s">
        <v>68</v>
      </c>
      <c r="N1117" s="88" t="s">
        <v>78</v>
      </c>
    </row>
    <row r="1118" spans="1:14">
      <c r="A1118" s="81">
        <v>46124</v>
      </c>
      <c r="B1118" s="82" t="s">
        <v>1186</v>
      </c>
      <c r="C1118" s="82" t="s">
        <v>26</v>
      </c>
      <c r="D1118" s="82" t="s">
        <v>32</v>
      </c>
      <c r="E1118" s="82" t="s">
        <v>42</v>
      </c>
      <c r="F1118" s="83">
        <v>11</v>
      </c>
      <c r="G1118" s="84">
        <v>862.63</v>
      </c>
      <c r="H1118" s="85">
        <v>0</v>
      </c>
      <c r="I1118" s="86">
        <f t="shared" si="34"/>
        <v>9488.93</v>
      </c>
      <c r="J1118" s="86">
        <v>5788.25</v>
      </c>
      <c r="K1118" s="86">
        <f t="shared" si="35"/>
        <v>3700.6800000000003</v>
      </c>
      <c r="L1118" s="87" t="s">
        <v>67</v>
      </c>
      <c r="M1118" s="87" t="s">
        <v>68</v>
      </c>
      <c r="N1118" s="88" t="s">
        <v>61</v>
      </c>
    </row>
    <row r="1119" spans="1:14">
      <c r="A1119" s="81">
        <v>46124</v>
      </c>
      <c r="B1119" s="82" t="s">
        <v>1187</v>
      </c>
      <c r="C1119" s="82" t="s">
        <v>40</v>
      </c>
      <c r="D1119" s="82" t="s">
        <v>32</v>
      </c>
      <c r="E1119" s="82" t="s">
        <v>46</v>
      </c>
      <c r="F1119" s="83">
        <v>6</v>
      </c>
      <c r="G1119" s="84">
        <v>110.62</v>
      </c>
      <c r="H1119" s="85">
        <v>0.08</v>
      </c>
      <c r="I1119" s="86">
        <f t="shared" si="34"/>
        <v>610.62240000000008</v>
      </c>
      <c r="J1119" s="86">
        <v>318.58999999999997</v>
      </c>
      <c r="K1119" s="86">
        <f t="shared" si="35"/>
        <v>292.03240000000011</v>
      </c>
      <c r="L1119" s="87" t="s">
        <v>63</v>
      </c>
      <c r="M1119" s="87" t="s">
        <v>64</v>
      </c>
      <c r="N1119" s="88" t="s">
        <v>65</v>
      </c>
    </row>
    <row r="1120" spans="1:14">
      <c r="A1120" s="81">
        <v>46124</v>
      </c>
      <c r="B1120" s="82" t="s">
        <v>1188</v>
      </c>
      <c r="C1120" s="82" t="s">
        <v>26</v>
      </c>
      <c r="D1120" s="82" t="s">
        <v>37</v>
      </c>
      <c r="E1120" s="82" t="s">
        <v>48</v>
      </c>
      <c r="F1120" s="83">
        <v>13</v>
      </c>
      <c r="G1120" s="84">
        <v>79.95</v>
      </c>
      <c r="H1120" s="85">
        <v>0.05</v>
      </c>
      <c r="I1120" s="86">
        <f t="shared" si="34"/>
        <v>987.38250000000005</v>
      </c>
      <c r="J1120" s="86">
        <v>436.53</v>
      </c>
      <c r="K1120" s="86">
        <f t="shared" si="35"/>
        <v>550.85250000000008</v>
      </c>
      <c r="L1120" s="87" t="s">
        <v>59</v>
      </c>
      <c r="M1120" s="87" t="s">
        <v>68</v>
      </c>
      <c r="N1120" s="88" t="s">
        <v>71</v>
      </c>
    </row>
    <row r="1121" spans="1:14">
      <c r="A1121" s="81">
        <v>46125</v>
      </c>
      <c r="B1121" s="82" t="s">
        <v>1189</v>
      </c>
      <c r="C1121" s="82" t="s">
        <v>40</v>
      </c>
      <c r="D1121" s="82" t="s">
        <v>32</v>
      </c>
      <c r="E1121" s="82" t="s">
        <v>46</v>
      </c>
      <c r="F1121" s="83">
        <v>1</v>
      </c>
      <c r="G1121" s="84">
        <v>113.87</v>
      </c>
      <c r="H1121" s="85">
        <v>0.12</v>
      </c>
      <c r="I1121" s="86">
        <f t="shared" si="34"/>
        <v>100.2056</v>
      </c>
      <c r="J1121" s="86">
        <v>54.66</v>
      </c>
      <c r="K1121" s="86">
        <f t="shared" si="35"/>
        <v>45.545600000000007</v>
      </c>
      <c r="L1121" s="87" t="s">
        <v>59</v>
      </c>
      <c r="M1121" s="87" t="s">
        <v>64</v>
      </c>
      <c r="N1121" s="88" t="s">
        <v>69</v>
      </c>
    </row>
    <row r="1122" spans="1:14">
      <c r="A1122" s="81">
        <v>46126</v>
      </c>
      <c r="B1122" s="82" t="s">
        <v>1190</v>
      </c>
      <c r="C1122" s="82" t="s">
        <v>36</v>
      </c>
      <c r="D1122" s="82" t="s">
        <v>37</v>
      </c>
      <c r="E1122" s="82" t="s">
        <v>47</v>
      </c>
      <c r="F1122" s="83">
        <v>2</v>
      </c>
      <c r="G1122" s="84">
        <v>137.1</v>
      </c>
      <c r="H1122" s="85">
        <v>0.12</v>
      </c>
      <c r="I1122" s="86">
        <f t="shared" si="34"/>
        <v>241.29599999999999</v>
      </c>
      <c r="J1122" s="86">
        <v>126.13</v>
      </c>
      <c r="K1122" s="86">
        <f t="shared" si="35"/>
        <v>115.166</v>
      </c>
      <c r="L1122" s="87" t="s">
        <v>67</v>
      </c>
      <c r="M1122" s="87" t="s">
        <v>64</v>
      </c>
      <c r="N1122" s="88" t="s">
        <v>74</v>
      </c>
    </row>
    <row r="1123" spans="1:14">
      <c r="A1123" s="81">
        <v>46126</v>
      </c>
      <c r="B1123" s="82" t="s">
        <v>1191</v>
      </c>
      <c r="C1123" s="82" t="s">
        <v>26</v>
      </c>
      <c r="D1123" s="82" t="s">
        <v>37</v>
      </c>
      <c r="E1123" s="82" t="s">
        <v>48</v>
      </c>
      <c r="F1123" s="83">
        <v>2</v>
      </c>
      <c r="G1123" s="84">
        <v>77.41</v>
      </c>
      <c r="H1123" s="85">
        <v>0.05</v>
      </c>
      <c r="I1123" s="86">
        <f t="shared" si="34"/>
        <v>147.07899999999998</v>
      </c>
      <c r="J1123" s="86">
        <v>65.02</v>
      </c>
      <c r="K1123" s="86">
        <f t="shared" si="35"/>
        <v>82.058999999999983</v>
      </c>
      <c r="L1123" s="87" t="s">
        <v>63</v>
      </c>
      <c r="M1123" s="87" t="s">
        <v>68</v>
      </c>
      <c r="N1123" s="88" t="s">
        <v>71</v>
      </c>
    </row>
    <row r="1124" spans="1:14">
      <c r="A1124" s="81">
        <v>46127</v>
      </c>
      <c r="B1124" s="82" t="s">
        <v>1192</v>
      </c>
      <c r="C1124" s="82" t="s">
        <v>31</v>
      </c>
      <c r="D1124" s="82" t="s">
        <v>27</v>
      </c>
      <c r="E1124" s="82" t="s">
        <v>30</v>
      </c>
      <c r="F1124" s="83">
        <v>8</v>
      </c>
      <c r="G1124" s="84">
        <v>765.05</v>
      </c>
      <c r="H1124" s="85">
        <v>0.05</v>
      </c>
      <c r="I1124" s="86">
        <f t="shared" si="34"/>
        <v>5814.3799999999992</v>
      </c>
      <c r="J1124" s="86">
        <v>3917.06</v>
      </c>
      <c r="K1124" s="86">
        <f t="shared" si="35"/>
        <v>1897.3199999999993</v>
      </c>
      <c r="L1124" s="87" t="s">
        <v>67</v>
      </c>
      <c r="M1124" s="87" t="s">
        <v>64</v>
      </c>
      <c r="N1124" s="88" t="s">
        <v>65</v>
      </c>
    </row>
    <row r="1125" spans="1:14">
      <c r="A1125" s="81">
        <v>46127</v>
      </c>
      <c r="B1125" s="82" t="s">
        <v>1193</v>
      </c>
      <c r="C1125" s="82" t="s">
        <v>36</v>
      </c>
      <c r="D1125" s="82" t="s">
        <v>32</v>
      </c>
      <c r="E1125" s="82" t="s">
        <v>39</v>
      </c>
      <c r="F1125" s="83">
        <v>8</v>
      </c>
      <c r="G1125" s="84">
        <v>498.65</v>
      </c>
      <c r="H1125" s="85">
        <v>0.1</v>
      </c>
      <c r="I1125" s="86">
        <f t="shared" si="34"/>
        <v>3590.2799999999997</v>
      </c>
      <c r="J1125" s="86">
        <v>2273.84</v>
      </c>
      <c r="K1125" s="86">
        <f t="shared" si="35"/>
        <v>1316.4399999999996</v>
      </c>
      <c r="L1125" s="87" t="s">
        <v>59</v>
      </c>
      <c r="M1125" s="87" t="s">
        <v>64</v>
      </c>
      <c r="N1125" s="88" t="s">
        <v>69</v>
      </c>
    </row>
    <row r="1126" spans="1:14">
      <c r="A1126" s="81">
        <v>46128</v>
      </c>
      <c r="B1126" s="82" t="s">
        <v>1194</v>
      </c>
      <c r="C1126" s="82" t="s">
        <v>40</v>
      </c>
      <c r="D1126" s="82" t="s">
        <v>27</v>
      </c>
      <c r="E1126" s="82" t="s">
        <v>30</v>
      </c>
      <c r="F1126" s="83">
        <v>2</v>
      </c>
      <c r="G1126" s="84">
        <v>767.95</v>
      </c>
      <c r="H1126" s="85">
        <v>0.1</v>
      </c>
      <c r="I1126" s="86">
        <f t="shared" si="34"/>
        <v>1382.3100000000002</v>
      </c>
      <c r="J1126" s="86">
        <v>982.98</v>
      </c>
      <c r="K1126" s="86">
        <f t="shared" si="35"/>
        <v>399.33000000000015</v>
      </c>
      <c r="L1126" s="87" t="s">
        <v>67</v>
      </c>
      <c r="M1126" s="87" t="s">
        <v>60</v>
      </c>
      <c r="N1126" s="88" t="s">
        <v>69</v>
      </c>
    </row>
    <row r="1127" spans="1:14">
      <c r="A1127" s="81">
        <v>46128</v>
      </c>
      <c r="B1127" s="82" t="s">
        <v>1195</v>
      </c>
      <c r="C1127" s="82" t="s">
        <v>31</v>
      </c>
      <c r="D1127" s="82" t="s">
        <v>27</v>
      </c>
      <c r="E1127" s="82" t="s">
        <v>35</v>
      </c>
      <c r="F1127" s="83">
        <v>2</v>
      </c>
      <c r="G1127" s="84">
        <v>439.18</v>
      </c>
      <c r="H1127" s="85">
        <v>0.08</v>
      </c>
      <c r="I1127" s="86">
        <f t="shared" si="34"/>
        <v>808.09120000000007</v>
      </c>
      <c r="J1127" s="86">
        <v>527.02</v>
      </c>
      <c r="K1127" s="86">
        <f t="shared" si="35"/>
        <v>281.07120000000009</v>
      </c>
      <c r="L1127" s="87" t="s">
        <v>59</v>
      </c>
      <c r="M1127" s="87" t="s">
        <v>64</v>
      </c>
      <c r="N1127" s="88" t="s">
        <v>65</v>
      </c>
    </row>
    <row r="1128" spans="1:14">
      <c r="A1128" s="81">
        <v>46129</v>
      </c>
      <c r="B1128" s="82" t="s">
        <v>1196</v>
      </c>
      <c r="C1128" s="82" t="s">
        <v>36</v>
      </c>
      <c r="D1128" s="82" t="s">
        <v>27</v>
      </c>
      <c r="E1128" s="82" t="s">
        <v>25</v>
      </c>
      <c r="F1128" s="83">
        <v>7</v>
      </c>
      <c r="G1128" s="84">
        <v>1359.62</v>
      </c>
      <c r="H1128" s="85">
        <v>0.03</v>
      </c>
      <c r="I1128" s="86">
        <f t="shared" si="34"/>
        <v>9231.8197999999993</v>
      </c>
      <c r="J1128" s="86">
        <v>6471.79</v>
      </c>
      <c r="K1128" s="86">
        <f t="shared" si="35"/>
        <v>2760.0297999999993</v>
      </c>
      <c r="L1128" s="87" t="s">
        <v>63</v>
      </c>
      <c r="M1128" s="87" t="s">
        <v>64</v>
      </c>
      <c r="N1128" s="88" t="s">
        <v>69</v>
      </c>
    </row>
    <row r="1129" spans="1:14">
      <c r="A1129" s="81">
        <v>46130</v>
      </c>
      <c r="B1129" s="82" t="s">
        <v>1197</v>
      </c>
      <c r="C1129" s="82" t="s">
        <v>36</v>
      </c>
      <c r="D1129" s="82" t="s">
        <v>37</v>
      </c>
      <c r="E1129" s="82" t="s">
        <v>48</v>
      </c>
      <c r="F1129" s="83">
        <v>5</v>
      </c>
      <c r="G1129" s="84">
        <v>78.33</v>
      </c>
      <c r="H1129" s="85">
        <v>0.12</v>
      </c>
      <c r="I1129" s="86">
        <f t="shared" si="34"/>
        <v>344.65199999999999</v>
      </c>
      <c r="J1129" s="86">
        <v>164.49</v>
      </c>
      <c r="K1129" s="86">
        <f t="shared" si="35"/>
        <v>180.16199999999998</v>
      </c>
      <c r="L1129" s="87" t="s">
        <v>59</v>
      </c>
      <c r="M1129" s="87" t="s">
        <v>64</v>
      </c>
      <c r="N1129" s="88" t="s">
        <v>65</v>
      </c>
    </row>
    <row r="1130" spans="1:14">
      <c r="A1130" s="81">
        <v>46130</v>
      </c>
      <c r="B1130" s="82" t="s">
        <v>1198</v>
      </c>
      <c r="C1130" s="82" t="s">
        <v>36</v>
      </c>
      <c r="D1130" s="82" t="s">
        <v>32</v>
      </c>
      <c r="E1130" s="82" t="s">
        <v>42</v>
      </c>
      <c r="F1130" s="83">
        <v>9</v>
      </c>
      <c r="G1130" s="84">
        <v>904.57</v>
      </c>
      <c r="H1130" s="85">
        <v>0.05</v>
      </c>
      <c r="I1130" s="86">
        <f t="shared" si="34"/>
        <v>7734.0734999999995</v>
      </c>
      <c r="J1130" s="86">
        <v>4966.09</v>
      </c>
      <c r="K1130" s="86">
        <f t="shared" si="35"/>
        <v>2767.9834999999994</v>
      </c>
      <c r="L1130" s="87" t="s">
        <v>67</v>
      </c>
      <c r="M1130" s="87" t="s">
        <v>68</v>
      </c>
      <c r="N1130" s="88" t="s">
        <v>69</v>
      </c>
    </row>
    <row r="1131" spans="1:14">
      <c r="A1131" s="81">
        <v>46131</v>
      </c>
      <c r="B1131" s="82" t="s">
        <v>1199</v>
      </c>
      <c r="C1131" s="82" t="s">
        <v>36</v>
      </c>
      <c r="D1131" s="82" t="s">
        <v>37</v>
      </c>
      <c r="E1131" s="82" t="s">
        <v>48</v>
      </c>
      <c r="F1131" s="83">
        <v>7</v>
      </c>
      <c r="G1131" s="84">
        <v>84.78</v>
      </c>
      <c r="H1131" s="85">
        <v>0.08</v>
      </c>
      <c r="I1131" s="86">
        <f t="shared" si="34"/>
        <v>545.98320000000001</v>
      </c>
      <c r="J1131" s="86">
        <v>249.25</v>
      </c>
      <c r="K1131" s="86">
        <f t="shared" si="35"/>
        <v>296.73320000000001</v>
      </c>
      <c r="L1131" s="87" t="s">
        <v>63</v>
      </c>
      <c r="M1131" s="87" t="s">
        <v>68</v>
      </c>
      <c r="N1131" s="88" t="s">
        <v>78</v>
      </c>
    </row>
    <row r="1132" spans="1:14">
      <c r="A1132" s="81">
        <v>46132</v>
      </c>
      <c r="B1132" s="82" t="s">
        <v>1200</v>
      </c>
      <c r="C1132" s="82" t="s">
        <v>26</v>
      </c>
      <c r="D1132" s="82" t="s">
        <v>32</v>
      </c>
      <c r="E1132" s="82" t="s">
        <v>46</v>
      </c>
      <c r="F1132" s="83">
        <v>3</v>
      </c>
      <c r="G1132" s="84">
        <v>115.85</v>
      </c>
      <c r="H1132" s="85">
        <v>0.05</v>
      </c>
      <c r="I1132" s="86">
        <f t="shared" si="34"/>
        <v>330.17249999999996</v>
      </c>
      <c r="J1132" s="86">
        <v>166.82</v>
      </c>
      <c r="K1132" s="86">
        <f t="shared" si="35"/>
        <v>163.35249999999996</v>
      </c>
      <c r="L1132" s="87" t="s">
        <v>63</v>
      </c>
      <c r="M1132" s="87" t="s">
        <v>60</v>
      </c>
      <c r="N1132" s="88" t="s">
        <v>69</v>
      </c>
    </row>
    <row r="1133" spans="1:14">
      <c r="A1133" s="81">
        <v>46133</v>
      </c>
      <c r="B1133" s="82" t="s">
        <v>1201</v>
      </c>
      <c r="C1133" s="82" t="s">
        <v>40</v>
      </c>
      <c r="D1133" s="82" t="s">
        <v>27</v>
      </c>
      <c r="E1133" s="82" t="s">
        <v>25</v>
      </c>
      <c r="F1133" s="83">
        <v>6</v>
      </c>
      <c r="G1133" s="84">
        <v>1348.52</v>
      </c>
      <c r="H1133" s="85">
        <v>0.03</v>
      </c>
      <c r="I1133" s="86">
        <f t="shared" si="34"/>
        <v>7848.3863999999994</v>
      </c>
      <c r="J1133" s="86">
        <v>5501.96</v>
      </c>
      <c r="K1133" s="86">
        <f t="shared" si="35"/>
        <v>2346.4263999999994</v>
      </c>
      <c r="L1133" s="87" t="s">
        <v>67</v>
      </c>
      <c r="M1133" s="87" t="s">
        <v>64</v>
      </c>
      <c r="N1133" s="88" t="s">
        <v>74</v>
      </c>
    </row>
    <row r="1134" spans="1:14">
      <c r="A1134" s="81">
        <v>46133</v>
      </c>
      <c r="B1134" s="82" t="s">
        <v>1202</v>
      </c>
      <c r="C1134" s="82" t="s">
        <v>40</v>
      </c>
      <c r="D1134" s="82" t="s">
        <v>27</v>
      </c>
      <c r="E1134" s="82" t="s">
        <v>35</v>
      </c>
      <c r="F1134" s="83">
        <v>12</v>
      </c>
      <c r="G1134" s="84">
        <v>431.25</v>
      </c>
      <c r="H1134" s="85">
        <v>0.08</v>
      </c>
      <c r="I1134" s="86">
        <f t="shared" si="34"/>
        <v>4761</v>
      </c>
      <c r="J1134" s="86">
        <v>3105</v>
      </c>
      <c r="K1134" s="86">
        <f t="shared" si="35"/>
        <v>1656</v>
      </c>
      <c r="L1134" s="87" t="s">
        <v>63</v>
      </c>
      <c r="M1134" s="87" t="s">
        <v>68</v>
      </c>
      <c r="N1134" s="88" t="s">
        <v>69</v>
      </c>
    </row>
    <row r="1135" spans="1:14">
      <c r="A1135" s="81">
        <v>46134</v>
      </c>
      <c r="B1135" s="82" t="s">
        <v>1203</v>
      </c>
      <c r="C1135" s="82" t="s">
        <v>31</v>
      </c>
      <c r="D1135" s="82" t="s">
        <v>27</v>
      </c>
      <c r="E1135" s="82" t="s">
        <v>30</v>
      </c>
      <c r="F1135" s="83">
        <v>5</v>
      </c>
      <c r="G1135" s="84">
        <v>726.69</v>
      </c>
      <c r="H1135" s="85">
        <v>0.03</v>
      </c>
      <c r="I1135" s="86">
        <f t="shared" si="34"/>
        <v>3524.4465</v>
      </c>
      <c r="J1135" s="86">
        <v>2325.41</v>
      </c>
      <c r="K1135" s="86">
        <f t="shared" si="35"/>
        <v>1199.0365000000002</v>
      </c>
      <c r="L1135" s="87" t="s">
        <v>63</v>
      </c>
      <c r="M1135" s="87" t="s">
        <v>68</v>
      </c>
      <c r="N1135" s="88" t="s">
        <v>74</v>
      </c>
    </row>
    <row r="1136" spans="1:14">
      <c r="A1136" s="81">
        <v>46135</v>
      </c>
      <c r="B1136" s="82" t="s">
        <v>1204</v>
      </c>
      <c r="C1136" s="82" t="s">
        <v>40</v>
      </c>
      <c r="D1136" s="82" t="s">
        <v>32</v>
      </c>
      <c r="E1136" s="82" t="s">
        <v>39</v>
      </c>
      <c r="F1136" s="83">
        <v>9</v>
      </c>
      <c r="G1136" s="84">
        <v>517.88</v>
      </c>
      <c r="H1136" s="85">
        <v>0.1</v>
      </c>
      <c r="I1136" s="86">
        <f t="shared" si="34"/>
        <v>4194.8280000000004</v>
      </c>
      <c r="J1136" s="86">
        <v>2656.72</v>
      </c>
      <c r="K1136" s="86">
        <f t="shared" si="35"/>
        <v>1538.1080000000006</v>
      </c>
      <c r="L1136" s="87" t="s">
        <v>63</v>
      </c>
      <c r="M1136" s="87" t="s">
        <v>64</v>
      </c>
      <c r="N1136" s="88" t="s">
        <v>69</v>
      </c>
    </row>
    <row r="1137" spans="1:14">
      <c r="A1137" s="81">
        <v>46135</v>
      </c>
      <c r="B1137" s="82" t="s">
        <v>1205</v>
      </c>
      <c r="C1137" s="82" t="s">
        <v>40</v>
      </c>
      <c r="D1137" s="82" t="s">
        <v>37</v>
      </c>
      <c r="E1137" s="82" t="s">
        <v>48</v>
      </c>
      <c r="F1137" s="83">
        <v>2</v>
      </c>
      <c r="G1137" s="84">
        <v>79.98</v>
      </c>
      <c r="H1137" s="85">
        <v>0.08</v>
      </c>
      <c r="I1137" s="86">
        <f t="shared" si="34"/>
        <v>147.16320000000002</v>
      </c>
      <c r="J1137" s="86">
        <v>67.180000000000007</v>
      </c>
      <c r="K1137" s="86">
        <f t="shared" si="35"/>
        <v>79.983200000000011</v>
      </c>
      <c r="L1137" s="87" t="s">
        <v>63</v>
      </c>
      <c r="M1137" s="87" t="s">
        <v>60</v>
      </c>
      <c r="N1137" s="88" t="s">
        <v>69</v>
      </c>
    </row>
    <row r="1138" spans="1:14">
      <c r="A1138" s="81">
        <v>46135</v>
      </c>
      <c r="B1138" s="82" t="s">
        <v>1206</v>
      </c>
      <c r="C1138" s="82" t="s">
        <v>31</v>
      </c>
      <c r="D1138" s="82" t="s">
        <v>27</v>
      </c>
      <c r="E1138" s="82" t="s">
        <v>25</v>
      </c>
      <c r="F1138" s="83">
        <v>3</v>
      </c>
      <c r="G1138" s="84">
        <v>1421.26</v>
      </c>
      <c r="H1138" s="85">
        <v>0</v>
      </c>
      <c r="I1138" s="86">
        <f t="shared" si="34"/>
        <v>4263.78</v>
      </c>
      <c r="J1138" s="86">
        <v>2899.37</v>
      </c>
      <c r="K1138" s="86">
        <f t="shared" si="35"/>
        <v>1364.4099999999999</v>
      </c>
      <c r="L1138" s="87" t="s">
        <v>59</v>
      </c>
      <c r="M1138" s="87" t="s">
        <v>60</v>
      </c>
      <c r="N1138" s="88" t="s">
        <v>69</v>
      </c>
    </row>
    <row r="1139" spans="1:14">
      <c r="A1139" s="81">
        <v>46136</v>
      </c>
      <c r="B1139" s="82" t="s">
        <v>1207</v>
      </c>
      <c r="C1139" s="82" t="s">
        <v>36</v>
      </c>
      <c r="D1139" s="82" t="s">
        <v>32</v>
      </c>
      <c r="E1139" s="82" t="s">
        <v>39</v>
      </c>
      <c r="F1139" s="83">
        <v>5</v>
      </c>
      <c r="G1139" s="84">
        <v>489.7</v>
      </c>
      <c r="H1139" s="85">
        <v>0.08</v>
      </c>
      <c r="I1139" s="86">
        <f t="shared" si="34"/>
        <v>2252.62</v>
      </c>
      <c r="J1139" s="86">
        <v>1395.65</v>
      </c>
      <c r="K1139" s="86">
        <f t="shared" si="35"/>
        <v>856.9699999999998</v>
      </c>
      <c r="L1139" s="87" t="s">
        <v>63</v>
      </c>
      <c r="M1139" s="87" t="s">
        <v>60</v>
      </c>
      <c r="N1139" s="88" t="s">
        <v>61</v>
      </c>
    </row>
    <row r="1140" spans="1:14">
      <c r="A1140" s="81">
        <v>46139</v>
      </c>
      <c r="B1140" s="82" t="s">
        <v>1208</v>
      </c>
      <c r="C1140" s="82" t="s">
        <v>36</v>
      </c>
      <c r="D1140" s="82" t="s">
        <v>32</v>
      </c>
      <c r="E1140" s="82" t="s">
        <v>39</v>
      </c>
      <c r="F1140" s="83">
        <v>3</v>
      </c>
      <c r="G1140" s="84">
        <v>489.41</v>
      </c>
      <c r="H1140" s="85">
        <v>0.03</v>
      </c>
      <c r="I1140" s="86">
        <f t="shared" si="34"/>
        <v>1424.1831</v>
      </c>
      <c r="J1140" s="86">
        <v>836.89</v>
      </c>
      <c r="K1140" s="86">
        <f t="shared" si="35"/>
        <v>587.29309999999998</v>
      </c>
      <c r="L1140" s="87" t="s">
        <v>63</v>
      </c>
      <c r="M1140" s="87" t="s">
        <v>68</v>
      </c>
      <c r="N1140" s="88" t="s">
        <v>61</v>
      </c>
    </row>
    <row r="1141" spans="1:14">
      <c r="A1141" s="81">
        <v>46140</v>
      </c>
      <c r="B1141" s="82" t="s">
        <v>1209</v>
      </c>
      <c r="C1141" s="82" t="s">
        <v>31</v>
      </c>
      <c r="D1141" s="82" t="s">
        <v>37</v>
      </c>
      <c r="E1141" s="82" t="s">
        <v>48</v>
      </c>
      <c r="F1141" s="83">
        <v>13</v>
      </c>
      <c r="G1141" s="84">
        <v>77.27</v>
      </c>
      <c r="H1141" s="85">
        <v>0.05</v>
      </c>
      <c r="I1141" s="86">
        <f t="shared" si="34"/>
        <v>954.28449999999998</v>
      </c>
      <c r="J1141" s="86">
        <v>421.89</v>
      </c>
      <c r="K1141" s="86">
        <f t="shared" si="35"/>
        <v>532.39449999999999</v>
      </c>
      <c r="L1141" s="87" t="s">
        <v>67</v>
      </c>
      <c r="M1141" s="87" t="s">
        <v>68</v>
      </c>
      <c r="N1141" s="88" t="s">
        <v>65</v>
      </c>
    </row>
    <row r="1142" spans="1:14">
      <c r="A1142" s="81">
        <v>46140</v>
      </c>
      <c r="B1142" s="82" t="s">
        <v>1210</v>
      </c>
      <c r="C1142" s="82" t="s">
        <v>40</v>
      </c>
      <c r="D1142" s="82" t="s">
        <v>32</v>
      </c>
      <c r="E1142" s="82" t="s">
        <v>42</v>
      </c>
      <c r="F1142" s="83">
        <v>11</v>
      </c>
      <c r="G1142" s="84">
        <v>867.83</v>
      </c>
      <c r="H1142" s="85">
        <v>0.12</v>
      </c>
      <c r="I1142" s="86">
        <f t="shared" si="34"/>
        <v>8400.5944000000018</v>
      </c>
      <c r="J1142" s="86">
        <v>5823.14</v>
      </c>
      <c r="K1142" s="86">
        <f t="shared" si="35"/>
        <v>2577.4544000000014</v>
      </c>
      <c r="L1142" s="87" t="s">
        <v>59</v>
      </c>
      <c r="M1142" s="87" t="s">
        <v>68</v>
      </c>
      <c r="N1142" s="88" t="s">
        <v>65</v>
      </c>
    </row>
    <row r="1143" spans="1:14">
      <c r="A1143" s="81">
        <v>46140</v>
      </c>
      <c r="B1143" s="82" t="s">
        <v>1211</v>
      </c>
      <c r="C1143" s="82" t="s">
        <v>26</v>
      </c>
      <c r="D1143" s="82" t="s">
        <v>32</v>
      </c>
      <c r="E1143" s="82" t="s">
        <v>39</v>
      </c>
      <c r="F1143" s="83">
        <v>8</v>
      </c>
      <c r="G1143" s="84">
        <v>496.29</v>
      </c>
      <c r="H1143" s="85">
        <v>0.05</v>
      </c>
      <c r="I1143" s="86">
        <f t="shared" si="34"/>
        <v>3771.8040000000001</v>
      </c>
      <c r="J1143" s="86">
        <v>2263.08</v>
      </c>
      <c r="K1143" s="86">
        <f t="shared" si="35"/>
        <v>1508.7240000000002</v>
      </c>
      <c r="L1143" s="87" t="s">
        <v>67</v>
      </c>
      <c r="M1143" s="87" t="s">
        <v>64</v>
      </c>
      <c r="N1143" s="88" t="s">
        <v>69</v>
      </c>
    </row>
    <row r="1144" spans="1:14">
      <c r="A1144" s="81">
        <v>46140</v>
      </c>
      <c r="B1144" s="82" t="s">
        <v>1212</v>
      </c>
      <c r="C1144" s="82" t="s">
        <v>40</v>
      </c>
      <c r="D1144" s="82" t="s">
        <v>37</v>
      </c>
      <c r="E1144" s="82" t="s">
        <v>48</v>
      </c>
      <c r="F1144" s="83">
        <v>8</v>
      </c>
      <c r="G1144" s="84">
        <v>82.6</v>
      </c>
      <c r="H1144" s="85">
        <v>0.12</v>
      </c>
      <c r="I1144" s="86">
        <f t="shared" si="34"/>
        <v>581.50400000000002</v>
      </c>
      <c r="J1144" s="86">
        <v>277.54000000000002</v>
      </c>
      <c r="K1144" s="86">
        <f t="shared" si="35"/>
        <v>303.964</v>
      </c>
      <c r="L1144" s="87" t="s">
        <v>67</v>
      </c>
      <c r="M1144" s="87" t="s">
        <v>68</v>
      </c>
      <c r="N1144" s="88" t="s">
        <v>69</v>
      </c>
    </row>
    <row r="1145" spans="1:14">
      <c r="A1145" s="81">
        <v>46141</v>
      </c>
      <c r="B1145" s="82" t="s">
        <v>1213</v>
      </c>
      <c r="C1145" s="82" t="s">
        <v>31</v>
      </c>
      <c r="D1145" s="82" t="s">
        <v>27</v>
      </c>
      <c r="E1145" s="82" t="s">
        <v>30</v>
      </c>
      <c r="F1145" s="83">
        <v>6</v>
      </c>
      <c r="G1145" s="84">
        <v>739.77</v>
      </c>
      <c r="H1145" s="85">
        <v>0</v>
      </c>
      <c r="I1145" s="86">
        <f t="shared" si="34"/>
        <v>4438.62</v>
      </c>
      <c r="J1145" s="86">
        <v>2840.72</v>
      </c>
      <c r="K1145" s="86">
        <f t="shared" si="35"/>
        <v>1597.9</v>
      </c>
      <c r="L1145" s="87" t="s">
        <v>59</v>
      </c>
      <c r="M1145" s="87" t="s">
        <v>68</v>
      </c>
      <c r="N1145" s="88" t="s">
        <v>78</v>
      </c>
    </row>
    <row r="1146" spans="1:14">
      <c r="A1146" s="81">
        <v>46143</v>
      </c>
      <c r="B1146" s="82" t="s">
        <v>1214</v>
      </c>
      <c r="C1146" s="82" t="s">
        <v>40</v>
      </c>
      <c r="D1146" s="82" t="s">
        <v>27</v>
      </c>
      <c r="E1146" s="82" t="s">
        <v>35</v>
      </c>
      <c r="F1146" s="83">
        <v>4</v>
      </c>
      <c r="G1146" s="84">
        <v>440.04</v>
      </c>
      <c r="H1146" s="85">
        <v>0.05</v>
      </c>
      <c r="I1146" s="86">
        <f t="shared" si="34"/>
        <v>1672.152</v>
      </c>
      <c r="J1146" s="86">
        <v>1056.0999999999999</v>
      </c>
      <c r="K1146" s="86">
        <f t="shared" si="35"/>
        <v>616.05200000000013</v>
      </c>
      <c r="L1146" s="87" t="s">
        <v>59</v>
      </c>
      <c r="M1146" s="87" t="s">
        <v>60</v>
      </c>
      <c r="N1146" s="88" t="s">
        <v>78</v>
      </c>
    </row>
    <row r="1147" spans="1:14">
      <c r="A1147" s="81">
        <v>46144</v>
      </c>
      <c r="B1147" s="82" t="s">
        <v>1215</v>
      </c>
      <c r="C1147" s="82" t="s">
        <v>40</v>
      </c>
      <c r="D1147" s="82" t="s">
        <v>27</v>
      </c>
      <c r="E1147" s="82" t="s">
        <v>30</v>
      </c>
      <c r="F1147" s="83">
        <v>5</v>
      </c>
      <c r="G1147" s="84">
        <v>708.64</v>
      </c>
      <c r="H1147" s="85">
        <v>0.1</v>
      </c>
      <c r="I1147" s="86">
        <f t="shared" si="34"/>
        <v>3188.88</v>
      </c>
      <c r="J1147" s="86">
        <v>2267.65</v>
      </c>
      <c r="K1147" s="86">
        <f t="shared" si="35"/>
        <v>921.23</v>
      </c>
      <c r="L1147" s="87" t="s">
        <v>67</v>
      </c>
      <c r="M1147" s="87" t="s">
        <v>68</v>
      </c>
      <c r="N1147" s="88" t="s">
        <v>65</v>
      </c>
    </row>
    <row r="1148" spans="1:14">
      <c r="A1148" s="81">
        <v>46146</v>
      </c>
      <c r="B1148" s="82" t="s">
        <v>1216</v>
      </c>
      <c r="C1148" s="82" t="s">
        <v>26</v>
      </c>
      <c r="D1148" s="82" t="s">
        <v>32</v>
      </c>
      <c r="E1148" s="82" t="s">
        <v>46</v>
      </c>
      <c r="F1148" s="83">
        <v>2</v>
      </c>
      <c r="G1148" s="84">
        <v>111.95</v>
      </c>
      <c r="H1148" s="85">
        <v>0.05</v>
      </c>
      <c r="I1148" s="86">
        <f t="shared" si="34"/>
        <v>212.70499999999998</v>
      </c>
      <c r="J1148" s="86">
        <v>107.47</v>
      </c>
      <c r="K1148" s="86">
        <f t="shared" si="35"/>
        <v>105.23499999999999</v>
      </c>
      <c r="L1148" s="87" t="s">
        <v>59</v>
      </c>
      <c r="M1148" s="87" t="s">
        <v>60</v>
      </c>
      <c r="N1148" s="88" t="s">
        <v>78</v>
      </c>
    </row>
    <row r="1149" spans="1:14">
      <c r="A1149" s="81">
        <v>46147</v>
      </c>
      <c r="B1149" s="82" t="s">
        <v>1217</v>
      </c>
      <c r="C1149" s="82" t="s">
        <v>31</v>
      </c>
      <c r="D1149" s="82" t="s">
        <v>37</v>
      </c>
      <c r="E1149" s="82" t="s">
        <v>47</v>
      </c>
      <c r="F1149" s="83">
        <v>4</v>
      </c>
      <c r="G1149" s="84">
        <v>139.25</v>
      </c>
      <c r="H1149" s="85">
        <v>0</v>
      </c>
      <c r="I1149" s="86">
        <f t="shared" si="34"/>
        <v>557</v>
      </c>
      <c r="J1149" s="86">
        <v>256.22000000000003</v>
      </c>
      <c r="K1149" s="86">
        <f t="shared" si="35"/>
        <v>300.77999999999997</v>
      </c>
      <c r="L1149" s="87" t="s">
        <v>63</v>
      </c>
      <c r="M1149" s="87" t="s">
        <v>64</v>
      </c>
      <c r="N1149" s="88" t="s">
        <v>74</v>
      </c>
    </row>
    <row r="1150" spans="1:14">
      <c r="A1150" s="81">
        <v>46148</v>
      </c>
      <c r="B1150" s="82" t="s">
        <v>1218</v>
      </c>
      <c r="C1150" s="82" t="s">
        <v>26</v>
      </c>
      <c r="D1150" s="82" t="s">
        <v>37</v>
      </c>
      <c r="E1150" s="82" t="s">
        <v>47</v>
      </c>
      <c r="F1150" s="83">
        <v>8</v>
      </c>
      <c r="G1150" s="84">
        <v>136.28</v>
      </c>
      <c r="H1150" s="85">
        <v>0.03</v>
      </c>
      <c r="I1150" s="86">
        <f t="shared" si="34"/>
        <v>1057.5328</v>
      </c>
      <c r="J1150" s="86">
        <v>501.51</v>
      </c>
      <c r="K1150" s="86">
        <f t="shared" si="35"/>
        <v>556.02279999999996</v>
      </c>
      <c r="L1150" s="87" t="s">
        <v>67</v>
      </c>
      <c r="M1150" s="87" t="s">
        <v>64</v>
      </c>
      <c r="N1150" s="88" t="s">
        <v>74</v>
      </c>
    </row>
    <row r="1151" spans="1:14">
      <c r="A1151" s="81">
        <v>46149</v>
      </c>
      <c r="B1151" s="82" t="s">
        <v>1219</v>
      </c>
      <c r="C1151" s="82" t="s">
        <v>36</v>
      </c>
      <c r="D1151" s="82" t="s">
        <v>32</v>
      </c>
      <c r="E1151" s="82" t="s">
        <v>39</v>
      </c>
      <c r="F1151" s="83">
        <v>8</v>
      </c>
      <c r="G1151" s="84">
        <v>536.03</v>
      </c>
      <c r="H1151" s="85">
        <v>0.03</v>
      </c>
      <c r="I1151" s="86">
        <f t="shared" si="34"/>
        <v>4159.5927999999994</v>
      </c>
      <c r="J1151" s="86">
        <v>2444.3000000000002</v>
      </c>
      <c r="K1151" s="86">
        <f t="shared" si="35"/>
        <v>1715.2927999999993</v>
      </c>
      <c r="L1151" s="87" t="s">
        <v>59</v>
      </c>
      <c r="M1151" s="87" t="s">
        <v>68</v>
      </c>
      <c r="N1151" s="88" t="s">
        <v>69</v>
      </c>
    </row>
    <row r="1152" spans="1:14">
      <c r="A1152" s="81">
        <v>46149</v>
      </c>
      <c r="B1152" s="82" t="s">
        <v>1220</v>
      </c>
      <c r="C1152" s="82" t="s">
        <v>26</v>
      </c>
      <c r="D1152" s="82" t="s">
        <v>37</v>
      </c>
      <c r="E1152" s="82" t="s">
        <v>48</v>
      </c>
      <c r="F1152" s="83">
        <v>2</v>
      </c>
      <c r="G1152" s="84">
        <v>79.22</v>
      </c>
      <c r="H1152" s="85">
        <v>0.03</v>
      </c>
      <c r="I1152" s="86">
        <f t="shared" si="34"/>
        <v>153.68680000000001</v>
      </c>
      <c r="J1152" s="86">
        <v>66.540000000000006</v>
      </c>
      <c r="K1152" s="86">
        <f t="shared" si="35"/>
        <v>87.146799999999999</v>
      </c>
      <c r="L1152" s="87" t="s">
        <v>59</v>
      </c>
      <c r="M1152" s="87" t="s">
        <v>60</v>
      </c>
      <c r="N1152" s="88" t="s">
        <v>61</v>
      </c>
    </row>
    <row r="1153" spans="1:14">
      <c r="A1153" s="81">
        <v>46150</v>
      </c>
      <c r="B1153" s="82" t="s">
        <v>1221</v>
      </c>
      <c r="C1153" s="82" t="s">
        <v>36</v>
      </c>
      <c r="D1153" s="82" t="s">
        <v>27</v>
      </c>
      <c r="E1153" s="82" t="s">
        <v>35</v>
      </c>
      <c r="F1153" s="83">
        <v>3</v>
      </c>
      <c r="G1153" s="84">
        <v>434.54</v>
      </c>
      <c r="H1153" s="85">
        <v>0.08</v>
      </c>
      <c r="I1153" s="86">
        <f t="shared" si="34"/>
        <v>1199.3304000000001</v>
      </c>
      <c r="J1153" s="86">
        <v>782.17</v>
      </c>
      <c r="K1153" s="86">
        <f t="shared" si="35"/>
        <v>417.1604000000001</v>
      </c>
      <c r="L1153" s="87" t="s">
        <v>59</v>
      </c>
      <c r="M1153" s="87" t="s">
        <v>60</v>
      </c>
      <c r="N1153" s="88" t="s">
        <v>65</v>
      </c>
    </row>
    <row r="1154" spans="1:14">
      <c r="A1154" s="81">
        <v>46150</v>
      </c>
      <c r="B1154" s="82" t="s">
        <v>1222</v>
      </c>
      <c r="C1154" s="82" t="s">
        <v>31</v>
      </c>
      <c r="D1154" s="82" t="s">
        <v>27</v>
      </c>
      <c r="E1154" s="82" t="s">
        <v>30</v>
      </c>
      <c r="F1154" s="83">
        <v>4</v>
      </c>
      <c r="G1154" s="84">
        <v>732.73</v>
      </c>
      <c r="H1154" s="85">
        <v>0</v>
      </c>
      <c r="I1154" s="86">
        <f t="shared" ref="I1154:I1217" si="36">F1154*G1154*(1-H1154)</f>
        <v>2930.92</v>
      </c>
      <c r="J1154" s="86">
        <v>1875.79</v>
      </c>
      <c r="K1154" s="86">
        <f t="shared" ref="K1154:K1217" si="37">I1154-J1154</f>
        <v>1055.1300000000001</v>
      </c>
      <c r="L1154" s="87" t="s">
        <v>67</v>
      </c>
      <c r="M1154" s="87" t="s">
        <v>64</v>
      </c>
      <c r="N1154" s="88" t="s">
        <v>78</v>
      </c>
    </row>
    <row r="1155" spans="1:14">
      <c r="A1155" s="81">
        <v>46150</v>
      </c>
      <c r="B1155" s="82" t="s">
        <v>1223</v>
      </c>
      <c r="C1155" s="82" t="s">
        <v>31</v>
      </c>
      <c r="D1155" s="82" t="s">
        <v>32</v>
      </c>
      <c r="E1155" s="82" t="s">
        <v>42</v>
      </c>
      <c r="F1155" s="83">
        <v>3</v>
      </c>
      <c r="G1155" s="84">
        <v>948.1</v>
      </c>
      <c r="H1155" s="85">
        <v>0</v>
      </c>
      <c r="I1155" s="86">
        <f t="shared" si="36"/>
        <v>2844.3</v>
      </c>
      <c r="J1155" s="86">
        <v>1735.02</v>
      </c>
      <c r="K1155" s="86">
        <f t="shared" si="37"/>
        <v>1109.2800000000002</v>
      </c>
      <c r="L1155" s="87" t="s">
        <v>67</v>
      </c>
      <c r="M1155" s="87" t="s">
        <v>60</v>
      </c>
      <c r="N1155" s="88" t="s">
        <v>78</v>
      </c>
    </row>
    <row r="1156" spans="1:14">
      <c r="A1156" s="81">
        <v>46150</v>
      </c>
      <c r="B1156" s="82" t="s">
        <v>1224</v>
      </c>
      <c r="C1156" s="82" t="s">
        <v>26</v>
      </c>
      <c r="D1156" s="82" t="s">
        <v>27</v>
      </c>
      <c r="E1156" s="82" t="s">
        <v>35</v>
      </c>
      <c r="F1156" s="83">
        <v>5</v>
      </c>
      <c r="G1156" s="84">
        <v>427.04</v>
      </c>
      <c r="H1156" s="85">
        <v>0.03</v>
      </c>
      <c r="I1156" s="86">
        <f t="shared" si="36"/>
        <v>2071.1440000000002</v>
      </c>
      <c r="J1156" s="86">
        <v>1281.1199999999999</v>
      </c>
      <c r="K1156" s="86">
        <f t="shared" si="37"/>
        <v>790.02400000000034</v>
      </c>
      <c r="L1156" s="87" t="s">
        <v>59</v>
      </c>
      <c r="M1156" s="87" t="s">
        <v>68</v>
      </c>
      <c r="N1156" s="88" t="s">
        <v>78</v>
      </c>
    </row>
    <row r="1157" spans="1:14">
      <c r="A1157" s="81">
        <v>46150</v>
      </c>
      <c r="B1157" s="82" t="s">
        <v>1225</v>
      </c>
      <c r="C1157" s="82" t="s">
        <v>40</v>
      </c>
      <c r="D1157" s="82" t="s">
        <v>37</v>
      </c>
      <c r="E1157" s="82" t="s">
        <v>48</v>
      </c>
      <c r="F1157" s="83">
        <v>2</v>
      </c>
      <c r="G1157" s="84">
        <v>77.55</v>
      </c>
      <c r="H1157" s="85">
        <v>0.12</v>
      </c>
      <c r="I1157" s="86">
        <f t="shared" si="36"/>
        <v>136.488</v>
      </c>
      <c r="J1157" s="86">
        <v>65.14</v>
      </c>
      <c r="K1157" s="86">
        <f t="shared" si="37"/>
        <v>71.347999999999999</v>
      </c>
      <c r="L1157" s="87" t="s">
        <v>63</v>
      </c>
      <c r="M1157" s="87" t="s">
        <v>68</v>
      </c>
      <c r="N1157" s="88" t="s">
        <v>61</v>
      </c>
    </row>
    <row r="1158" spans="1:14">
      <c r="A1158" s="81">
        <v>46150</v>
      </c>
      <c r="B1158" s="82" t="s">
        <v>1226</v>
      </c>
      <c r="C1158" s="82" t="s">
        <v>40</v>
      </c>
      <c r="D1158" s="82" t="s">
        <v>27</v>
      </c>
      <c r="E1158" s="82" t="s">
        <v>30</v>
      </c>
      <c r="F1158" s="83">
        <v>13</v>
      </c>
      <c r="G1158" s="84">
        <v>774.73</v>
      </c>
      <c r="H1158" s="85">
        <v>0.12</v>
      </c>
      <c r="I1158" s="86">
        <f t="shared" si="36"/>
        <v>8862.9112000000005</v>
      </c>
      <c r="J1158" s="86">
        <v>6445.75</v>
      </c>
      <c r="K1158" s="86">
        <f t="shared" si="37"/>
        <v>2417.1612000000005</v>
      </c>
      <c r="L1158" s="87" t="s">
        <v>67</v>
      </c>
      <c r="M1158" s="87" t="s">
        <v>68</v>
      </c>
      <c r="N1158" s="88" t="s">
        <v>69</v>
      </c>
    </row>
    <row r="1159" spans="1:14">
      <c r="A1159" s="81">
        <v>46150</v>
      </c>
      <c r="B1159" s="82" t="s">
        <v>1227</v>
      </c>
      <c r="C1159" s="82" t="s">
        <v>40</v>
      </c>
      <c r="D1159" s="82" t="s">
        <v>37</v>
      </c>
      <c r="E1159" s="82" t="s">
        <v>48</v>
      </c>
      <c r="F1159" s="83">
        <v>8</v>
      </c>
      <c r="G1159" s="84">
        <v>83.59</v>
      </c>
      <c r="H1159" s="85">
        <v>0.08</v>
      </c>
      <c r="I1159" s="86">
        <f t="shared" si="36"/>
        <v>615.22240000000011</v>
      </c>
      <c r="J1159" s="86">
        <v>280.86</v>
      </c>
      <c r="K1159" s="86">
        <f t="shared" si="37"/>
        <v>334.36240000000009</v>
      </c>
      <c r="L1159" s="87" t="s">
        <v>59</v>
      </c>
      <c r="M1159" s="87" t="s">
        <v>68</v>
      </c>
      <c r="N1159" s="88" t="s">
        <v>69</v>
      </c>
    </row>
    <row r="1160" spans="1:14">
      <c r="A1160" s="81">
        <v>46151</v>
      </c>
      <c r="B1160" s="82" t="s">
        <v>1228</v>
      </c>
      <c r="C1160" s="82" t="s">
        <v>31</v>
      </c>
      <c r="D1160" s="82" t="s">
        <v>32</v>
      </c>
      <c r="E1160" s="82" t="s">
        <v>46</v>
      </c>
      <c r="F1160" s="83">
        <v>8</v>
      </c>
      <c r="G1160" s="84">
        <v>118.7</v>
      </c>
      <c r="H1160" s="85">
        <v>0.1</v>
      </c>
      <c r="I1160" s="86">
        <f t="shared" si="36"/>
        <v>854.64</v>
      </c>
      <c r="J1160" s="86">
        <v>455.81</v>
      </c>
      <c r="K1160" s="86">
        <f t="shared" si="37"/>
        <v>398.83</v>
      </c>
      <c r="L1160" s="87" t="s">
        <v>59</v>
      </c>
      <c r="M1160" s="87" t="s">
        <v>60</v>
      </c>
      <c r="N1160" s="88" t="s">
        <v>71</v>
      </c>
    </row>
    <row r="1161" spans="1:14">
      <c r="A1161" s="81">
        <v>46152</v>
      </c>
      <c r="B1161" s="82" t="s">
        <v>1229</v>
      </c>
      <c r="C1161" s="82" t="s">
        <v>40</v>
      </c>
      <c r="D1161" s="82" t="s">
        <v>32</v>
      </c>
      <c r="E1161" s="82" t="s">
        <v>42</v>
      </c>
      <c r="F1161" s="83">
        <v>5</v>
      </c>
      <c r="G1161" s="84">
        <v>881.64</v>
      </c>
      <c r="H1161" s="85">
        <v>0.03</v>
      </c>
      <c r="I1161" s="86">
        <f t="shared" si="36"/>
        <v>4275.9539999999997</v>
      </c>
      <c r="J1161" s="86">
        <v>2689</v>
      </c>
      <c r="K1161" s="86">
        <f t="shared" si="37"/>
        <v>1586.9539999999997</v>
      </c>
      <c r="L1161" s="87" t="s">
        <v>59</v>
      </c>
      <c r="M1161" s="87" t="s">
        <v>60</v>
      </c>
      <c r="N1161" s="88" t="s">
        <v>65</v>
      </c>
    </row>
    <row r="1162" spans="1:14">
      <c r="A1162" s="81">
        <v>46152</v>
      </c>
      <c r="B1162" s="82" t="s">
        <v>1230</v>
      </c>
      <c r="C1162" s="82" t="s">
        <v>26</v>
      </c>
      <c r="D1162" s="82" t="s">
        <v>32</v>
      </c>
      <c r="E1162" s="82" t="s">
        <v>46</v>
      </c>
      <c r="F1162" s="83">
        <v>13</v>
      </c>
      <c r="G1162" s="84">
        <v>109.43</v>
      </c>
      <c r="H1162" s="85">
        <v>0</v>
      </c>
      <c r="I1162" s="86">
        <f t="shared" si="36"/>
        <v>1422.5900000000001</v>
      </c>
      <c r="J1162" s="86">
        <v>682.84</v>
      </c>
      <c r="K1162" s="86">
        <f t="shared" si="37"/>
        <v>739.75000000000011</v>
      </c>
      <c r="L1162" s="87" t="s">
        <v>63</v>
      </c>
      <c r="M1162" s="87" t="s">
        <v>68</v>
      </c>
      <c r="N1162" s="88" t="s">
        <v>65</v>
      </c>
    </row>
    <row r="1163" spans="1:14">
      <c r="A1163" s="81">
        <v>46152</v>
      </c>
      <c r="B1163" s="82" t="s">
        <v>1231</v>
      </c>
      <c r="C1163" s="82" t="s">
        <v>31</v>
      </c>
      <c r="D1163" s="82" t="s">
        <v>32</v>
      </c>
      <c r="E1163" s="82" t="s">
        <v>42</v>
      </c>
      <c r="F1163" s="83">
        <v>10</v>
      </c>
      <c r="G1163" s="84">
        <v>920.22</v>
      </c>
      <c r="H1163" s="85">
        <v>0.03</v>
      </c>
      <c r="I1163" s="86">
        <f t="shared" si="36"/>
        <v>8926.134</v>
      </c>
      <c r="J1163" s="86">
        <v>5613.34</v>
      </c>
      <c r="K1163" s="86">
        <f t="shared" si="37"/>
        <v>3312.7939999999999</v>
      </c>
      <c r="L1163" s="87" t="s">
        <v>67</v>
      </c>
      <c r="M1163" s="87" t="s">
        <v>68</v>
      </c>
      <c r="N1163" s="88" t="s">
        <v>61</v>
      </c>
    </row>
    <row r="1164" spans="1:14">
      <c r="A1164" s="81">
        <v>46152</v>
      </c>
      <c r="B1164" s="82" t="s">
        <v>1232</v>
      </c>
      <c r="C1164" s="82" t="s">
        <v>36</v>
      </c>
      <c r="D1164" s="82" t="s">
        <v>27</v>
      </c>
      <c r="E1164" s="82" t="s">
        <v>30</v>
      </c>
      <c r="F1164" s="83">
        <v>8</v>
      </c>
      <c r="G1164" s="84">
        <v>736.38</v>
      </c>
      <c r="H1164" s="85">
        <v>0</v>
      </c>
      <c r="I1164" s="86">
        <f t="shared" si="36"/>
        <v>5891.04</v>
      </c>
      <c r="J1164" s="86">
        <v>3770.27</v>
      </c>
      <c r="K1164" s="86">
        <f t="shared" si="37"/>
        <v>2120.77</v>
      </c>
      <c r="L1164" s="87" t="s">
        <v>63</v>
      </c>
      <c r="M1164" s="87" t="s">
        <v>60</v>
      </c>
      <c r="N1164" s="88" t="s">
        <v>61</v>
      </c>
    </row>
    <row r="1165" spans="1:14">
      <c r="A1165" s="81">
        <v>46154</v>
      </c>
      <c r="B1165" s="82" t="s">
        <v>1233</v>
      </c>
      <c r="C1165" s="82" t="s">
        <v>31</v>
      </c>
      <c r="D1165" s="82" t="s">
        <v>32</v>
      </c>
      <c r="E1165" s="82" t="s">
        <v>46</v>
      </c>
      <c r="F1165" s="83">
        <v>9</v>
      </c>
      <c r="G1165" s="84">
        <v>111.88</v>
      </c>
      <c r="H1165" s="85">
        <v>0.05</v>
      </c>
      <c r="I1165" s="86">
        <f t="shared" si="36"/>
        <v>956.57399999999996</v>
      </c>
      <c r="J1165" s="86">
        <v>483.32</v>
      </c>
      <c r="K1165" s="86">
        <f t="shared" si="37"/>
        <v>473.25399999999996</v>
      </c>
      <c r="L1165" s="87" t="s">
        <v>63</v>
      </c>
      <c r="M1165" s="87" t="s">
        <v>60</v>
      </c>
      <c r="N1165" s="88" t="s">
        <v>69</v>
      </c>
    </row>
    <row r="1166" spans="1:14">
      <c r="A1166" s="81">
        <v>46154</v>
      </c>
      <c r="B1166" s="82" t="s">
        <v>1234</v>
      </c>
      <c r="C1166" s="82" t="s">
        <v>40</v>
      </c>
      <c r="D1166" s="82" t="s">
        <v>27</v>
      </c>
      <c r="E1166" s="82" t="s">
        <v>35</v>
      </c>
      <c r="F1166" s="83">
        <v>3</v>
      </c>
      <c r="G1166" s="84">
        <v>427.79</v>
      </c>
      <c r="H1166" s="85">
        <v>0.1</v>
      </c>
      <c r="I1166" s="86">
        <f t="shared" si="36"/>
        <v>1155.0330000000001</v>
      </c>
      <c r="J1166" s="86">
        <v>770.02</v>
      </c>
      <c r="K1166" s="86">
        <f t="shared" si="37"/>
        <v>385.01300000000015</v>
      </c>
      <c r="L1166" s="87" t="s">
        <v>63</v>
      </c>
      <c r="M1166" s="87" t="s">
        <v>60</v>
      </c>
      <c r="N1166" s="88" t="s">
        <v>74</v>
      </c>
    </row>
    <row r="1167" spans="1:14">
      <c r="A1167" s="81">
        <v>46154</v>
      </c>
      <c r="B1167" s="82" t="s">
        <v>1235</v>
      </c>
      <c r="C1167" s="82" t="s">
        <v>36</v>
      </c>
      <c r="D1167" s="82" t="s">
        <v>32</v>
      </c>
      <c r="E1167" s="82" t="s">
        <v>39</v>
      </c>
      <c r="F1167" s="83">
        <v>4</v>
      </c>
      <c r="G1167" s="84">
        <v>530.01</v>
      </c>
      <c r="H1167" s="85">
        <v>0</v>
      </c>
      <c r="I1167" s="86">
        <f t="shared" si="36"/>
        <v>2120.04</v>
      </c>
      <c r="J1167" s="86">
        <v>1208.42</v>
      </c>
      <c r="K1167" s="86">
        <f t="shared" si="37"/>
        <v>911.61999999999989</v>
      </c>
      <c r="L1167" s="87" t="s">
        <v>67</v>
      </c>
      <c r="M1167" s="87" t="s">
        <v>60</v>
      </c>
      <c r="N1167" s="88" t="s">
        <v>61</v>
      </c>
    </row>
    <row r="1168" spans="1:14">
      <c r="A1168" s="81">
        <v>46154</v>
      </c>
      <c r="B1168" s="82" t="s">
        <v>1236</v>
      </c>
      <c r="C1168" s="82" t="s">
        <v>40</v>
      </c>
      <c r="D1168" s="82" t="s">
        <v>32</v>
      </c>
      <c r="E1168" s="82" t="s">
        <v>39</v>
      </c>
      <c r="F1168" s="83">
        <v>4</v>
      </c>
      <c r="G1168" s="84">
        <v>512.54</v>
      </c>
      <c r="H1168" s="85">
        <v>0.12</v>
      </c>
      <c r="I1168" s="86">
        <f t="shared" si="36"/>
        <v>1804.1407999999999</v>
      </c>
      <c r="J1168" s="86">
        <v>1168.5899999999999</v>
      </c>
      <c r="K1168" s="86">
        <f t="shared" si="37"/>
        <v>635.55079999999998</v>
      </c>
      <c r="L1168" s="87" t="s">
        <v>59</v>
      </c>
      <c r="M1168" s="87" t="s">
        <v>68</v>
      </c>
      <c r="N1168" s="88" t="s">
        <v>74</v>
      </c>
    </row>
    <row r="1169" spans="1:14">
      <c r="A1169" s="81">
        <v>46155</v>
      </c>
      <c r="B1169" s="82" t="s">
        <v>1237</v>
      </c>
      <c r="C1169" s="82" t="s">
        <v>36</v>
      </c>
      <c r="D1169" s="82" t="s">
        <v>37</v>
      </c>
      <c r="E1169" s="82" t="s">
        <v>47</v>
      </c>
      <c r="F1169" s="83">
        <v>6</v>
      </c>
      <c r="G1169" s="84">
        <v>149.91999999999999</v>
      </c>
      <c r="H1169" s="85">
        <v>0</v>
      </c>
      <c r="I1169" s="86">
        <f t="shared" si="36"/>
        <v>899.52</v>
      </c>
      <c r="J1169" s="86">
        <v>413.78</v>
      </c>
      <c r="K1169" s="86">
        <f t="shared" si="37"/>
        <v>485.74</v>
      </c>
      <c r="L1169" s="87" t="s">
        <v>63</v>
      </c>
      <c r="M1169" s="87" t="s">
        <v>60</v>
      </c>
      <c r="N1169" s="88" t="s">
        <v>61</v>
      </c>
    </row>
    <row r="1170" spans="1:14">
      <c r="A1170" s="81">
        <v>46156</v>
      </c>
      <c r="B1170" s="82" t="s">
        <v>1238</v>
      </c>
      <c r="C1170" s="82" t="s">
        <v>40</v>
      </c>
      <c r="D1170" s="82" t="s">
        <v>27</v>
      </c>
      <c r="E1170" s="82" t="s">
        <v>25</v>
      </c>
      <c r="F1170" s="83">
        <v>5</v>
      </c>
      <c r="G1170" s="84">
        <v>1383.18</v>
      </c>
      <c r="H1170" s="85">
        <v>0.03</v>
      </c>
      <c r="I1170" s="86">
        <f t="shared" si="36"/>
        <v>6708.4230000000007</v>
      </c>
      <c r="J1170" s="86">
        <v>4702.8100000000004</v>
      </c>
      <c r="K1170" s="86">
        <f t="shared" si="37"/>
        <v>2005.6130000000003</v>
      </c>
      <c r="L1170" s="87" t="s">
        <v>63</v>
      </c>
      <c r="M1170" s="87" t="s">
        <v>64</v>
      </c>
      <c r="N1170" s="88" t="s">
        <v>78</v>
      </c>
    </row>
    <row r="1171" spans="1:14">
      <c r="A1171" s="81">
        <v>46157</v>
      </c>
      <c r="B1171" s="82" t="s">
        <v>1239</v>
      </c>
      <c r="C1171" s="82" t="s">
        <v>26</v>
      </c>
      <c r="D1171" s="82" t="s">
        <v>37</v>
      </c>
      <c r="E1171" s="82" t="s">
        <v>47</v>
      </c>
      <c r="F1171" s="83">
        <v>4</v>
      </c>
      <c r="G1171" s="84">
        <v>142.84</v>
      </c>
      <c r="H1171" s="85">
        <v>0.05</v>
      </c>
      <c r="I1171" s="86">
        <f t="shared" si="36"/>
        <v>542.79200000000003</v>
      </c>
      <c r="J1171" s="86">
        <v>262.83</v>
      </c>
      <c r="K1171" s="86">
        <f t="shared" si="37"/>
        <v>279.96200000000005</v>
      </c>
      <c r="L1171" s="87" t="s">
        <v>67</v>
      </c>
      <c r="M1171" s="87" t="s">
        <v>64</v>
      </c>
      <c r="N1171" s="88" t="s">
        <v>74</v>
      </c>
    </row>
    <row r="1172" spans="1:14">
      <c r="A1172" s="81">
        <v>46158</v>
      </c>
      <c r="B1172" s="82" t="s">
        <v>1240</v>
      </c>
      <c r="C1172" s="82" t="s">
        <v>26</v>
      </c>
      <c r="D1172" s="82" t="s">
        <v>27</v>
      </c>
      <c r="E1172" s="82" t="s">
        <v>25</v>
      </c>
      <c r="F1172" s="83">
        <v>3</v>
      </c>
      <c r="G1172" s="84">
        <v>1450.69</v>
      </c>
      <c r="H1172" s="85">
        <v>0.05</v>
      </c>
      <c r="I1172" s="86">
        <f t="shared" si="36"/>
        <v>4134.4664999999995</v>
      </c>
      <c r="J1172" s="86">
        <v>2959.41</v>
      </c>
      <c r="K1172" s="86">
        <f t="shared" si="37"/>
        <v>1175.0564999999997</v>
      </c>
      <c r="L1172" s="87" t="s">
        <v>67</v>
      </c>
      <c r="M1172" s="87" t="s">
        <v>60</v>
      </c>
      <c r="N1172" s="88" t="s">
        <v>69</v>
      </c>
    </row>
    <row r="1173" spans="1:14">
      <c r="A1173" s="81">
        <v>46158</v>
      </c>
      <c r="B1173" s="82" t="s">
        <v>1241</v>
      </c>
      <c r="C1173" s="82" t="s">
        <v>31</v>
      </c>
      <c r="D1173" s="82" t="s">
        <v>27</v>
      </c>
      <c r="E1173" s="82" t="s">
        <v>30</v>
      </c>
      <c r="F1173" s="83">
        <v>12</v>
      </c>
      <c r="G1173" s="84">
        <v>747.49</v>
      </c>
      <c r="H1173" s="85">
        <v>0.05</v>
      </c>
      <c r="I1173" s="86">
        <f t="shared" si="36"/>
        <v>8521.3860000000004</v>
      </c>
      <c r="J1173" s="86">
        <v>5740.72</v>
      </c>
      <c r="K1173" s="86">
        <f t="shared" si="37"/>
        <v>2780.6660000000002</v>
      </c>
      <c r="L1173" s="87" t="s">
        <v>59</v>
      </c>
      <c r="M1173" s="87" t="s">
        <v>68</v>
      </c>
      <c r="N1173" s="88" t="s">
        <v>69</v>
      </c>
    </row>
    <row r="1174" spans="1:14">
      <c r="A1174" s="81">
        <v>46158</v>
      </c>
      <c r="B1174" s="82" t="s">
        <v>1242</v>
      </c>
      <c r="C1174" s="82" t="s">
        <v>31</v>
      </c>
      <c r="D1174" s="82" t="s">
        <v>32</v>
      </c>
      <c r="E1174" s="82" t="s">
        <v>42</v>
      </c>
      <c r="F1174" s="83">
        <v>7</v>
      </c>
      <c r="G1174" s="84">
        <v>872.04</v>
      </c>
      <c r="H1174" s="85">
        <v>0.03</v>
      </c>
      <c r="I1174" s="86">
        <f t="shared" si="36"/>
        <v>5921.1515999999992</v>
      </c>
      <c r="J1174" s="86">
        <v>3723.61</v>
      </c>
      <c r="K1174" s="86">
        <f t="shared" si="37"/>
        <v>2197.5415999999991</v>
      </c>
      <c r="L1174" s="87" t="s">
        <v>63</v>
      </c>
      <c r="M1174" s="87" t="s">
        <v>60</v>
      </c>
      <c r="N1174" s="88" t="s">
        <v>69</v>
      </c>
    </row>
    <row r="1175" spans="1:14">
      <c r="A1175" s="81">
        <v>46159</v>
      </c>
      <c r="B1175" s="82" t="s">
        <v>1243</v>
      </c>
      <c r="C1175" s="82" t="s">
        <v>40</v>
      </c>
      <c r="D1175" s="82" t="s">
        <v>32</v>
      </c>
      <c r="E1175" s="82" t="s">
        <v>39</v>
      </c>
      <c r="F1175" s="83">
        <v>8</v>
      </c>
      <c r="G1175" s="84">
        <v>524.63</v>
      </c>
      <c r="H1175" s="85">
        <v>0.12</v>
      </c>
      <c r="I1175" s="86">
        <f t="shared" si="36"/>
        <v>3693.3951999999999</v>
      </c>
      <c r="J1175" s="86">
        <v>2392.31</v>
      </c>
      <c r="K1175" s="86">
        <f t="shared" si="37"/>
        <v>1301.0852</v>
      </c>
      <c r="L1175" s="87" t="s">
        <v>67</v>
      </c>
      <c r="M1175" s="87" t="s">
        <v>60</v>
      </c>
      <c r="N1175" s="88" t="s">
        <v>69</v>
      </c>
    </row>
    <row r="1176" spans="1:14">
      <c r="A1176" s="81">
        <v>46159</v>
      </c>
      <c r="B1176" s="82" t="s">
        <v>1244</v>
      </c>
      <c r="C1176" s="82" t="s">
        <v>31</v>
      </c>
      <c r="D1176" s="82" t="s">
        <v>27</v>
      </c>
      <c r="E1176" s="82" t="s">
        <v>25</v>
      </c>
      <c r="F1176" s="83">
        <v>5</v>
      </c>
      <c r="G1176" s="84">
        <v>1452.02</v>
      </c>
      <c r="H1176" s="85">
        <v>0.03</v>
      </c>
      <c r="I1176" s="86">
        <f t="shared" si="36"/>
        <v>7042.2970000000005</v>
      </c>
      <c r="J1176" s="86">
        <v>4936.87</v>
      </c>
      <c r="K1176" s="86">
        <f t="shared" si="37"/>
        <v>2105.4270000000006</v>
      </c>
      <c r="L1176" s="87" t="s">
        <v>67</v>
      </c>
      <c r="M1176" s="87" t="s">
        <v>60</v>
      </c>
      <c r="N1176" s="88" t="s">
        <v>71</v>
      </c>
    </row>
    <row r="1177" spans="1:14">
      <c r="A1177" s="81">
        <v>46159</v>
      </c>
      <c r="B1177" s="82" t="s">
        <v>1245</v>
      </c>
      <c r="C1177" s="82" t="s">
        <v>36</v>
      </c>
      <c r="D1177" s="82" t="s">
        <v>27</v>
      </c>
      <c r="E1177" s="82" t="s">
        <v>35</v>
      </c>
      <c r="F1177" s="83">
        <v>4</v>
      </c>
      <c r="G1177" s="84">
        <v>429.89</v>
      </c>
      <c r="H1177" s="85">
        <v>0.1</v>
      </c>
      <c r="I1177" s="86">
        <f t="shared" si="36"/>
        <v>1547.604</v>
      </c>
      <c r="J1177" s="86">
        <v>1031.74</v>
      </c>
      <c r="K1177" s="86">
        <f t="shared" si="37"/>
        <v>515.86400000000003</v>
      </c>
      <c r="L1177" s="87" t="s">
        <v>63</v>
      </c>
      <c r="M1177" s="87" t="s">
        <v>64</v>
      </c>
      <c r="N1177" s="88" t="s">
        <v>65</v>
      </c>
    </row>
    <row r="1178" spans="1:14">
      <c r="A1178" s="81">
        <v>46159</v>
      </c>
      <c r="B1178" s="82" t="s">
        <v>1246</v>
      </c>
      <c r="C1178" s="82" t="s">
        <v>26</v>
      </c>
      <c r="D1178" s="82" t="s">
        <v>37</v>
      </c>
      <c r="E1178" s="82" t="s">
        <v>47</v>
      </c>
      <c r="F1178" s="83">
        <v>4</v>
      </c>
      <c r="G1178" s="84">
        <v>137.38999999999999</v>
      </c>
      <c r="H1178" s="85">
        <v>0.08</v>
      </c>
      <c r="I1178" s="86">
        <f t="shared" si="36"/>
        <v>505.59519999999998</v>
      </c>
      <c r="J1178" s="86">
        <v>252.8</v>
      </c>
      <c r="K1178" s="86">
        <f t="shared" si="37"/>
        <v>252.79519999999997</v>
      </c>
      <c r="L1178" s="87" t="s">
        <v>59</v>
      </c>
      <c r="M1178" s="87" t="s">
        <v>60</v>
      </c>
      <c r="N1178" s="88" t="s">
        <v>78</v>
      </c>
    </row>
    <row r="1179" spans="1:14">
      <c r="A1179" s="81">
        <v>46159</v>
      </c>
      <c r="B1179" s="82" t="s">
        <v>1247</v>
      </c>
      <c r="C1179" s="82" t="s">
        <v>40</v>
      </c>
      <c r="D1179" s="82" t="s">
        <v>37</v>
      </c>
      <c r="E1179" s="82" t="s">
        <v>47</v>
      </c>
      <c r="F1179" s="83">
        <v>3</v>
      </c>
      <c r="G1179" s="84">
        <v>141.44</v>
      </c>
      <c r="H1179" s="85">
        <v>0.08</v>
      </c>
      <c r="I1179" s="86">
        <f t="shared" si="36"/>
        <v>390.37440000000004</v>
      </c>
      <c r="J1179" s="86">
        <v>195.19</v>
      </c>
      <c r="K1179" s="86">
        <f t="shared" si="37"/>
        <v>195.18440000000004</v>
      </c>
      <c r="L1179" s="87" t="s">
        <v>59</v>
      </c>
      <c r="M1179" s="87" t="s">
        <v>68</v>
      </c>
      <c r="N1179" s="88" t="s">
        <v>78</v>
      </c>
    </row>
    <row r="1180" spans="1:14">
      <c r="A1180" s="81">
        <v>46160</v>
      </c>
      <c r="B1180" s="82" t="s">
        <v>1248</v>
      </c>
      <c r="C1180" s="82" t="s">
        <v>31</v>
      </c>
      <c r="D1180" s="82" t="s">
        <v>32</v>
      </c>
      <c r="E1180" s="82" t="s">
        <v>46</v>
      </c>
      <c r="F1180" s="83">
        <v>7</v>
      </c>
      <c r="G1180" s="84">
        <v>113.08</v>
      </c>
      <c r="H1180" s="85">
        <v>0.03</v>
      </c>
      <c r="I1180" s="86">
        <f t="shared" si="36"/>
        <v>767.81319999999994</v>
      </c>
      <c r="J1180" s="86">
        <v>379.95</v>
      </c>
      <c r="K1180" s="86">
        <f t="shared" si="37"/>
        <v>387.86319999999995</v>
      </c>
      <c r="L1180" s="87" t="s">
        <v>63</v>
      </c>
      <c r="M1180" s="87" t="s">
        <v>60</v>
      </c>
      <c r="N1180" s="88" t="s">
        <v>71</v>
      </c>
    </row>
    <row r="1181" spans="1:14">
      <c r="A1181" s="81">
        <v>46161</v>
      </c>
      <c r="B1181" s="82" t="s">
        <v>1249</v>
      </c>
      <c r="C1181" s="82" t="s">
        <v>26</v>
      </c>
      <c r="D1181" s="82" t="s">
        <v>32</v>
      </c>
      <c r="E1181" s="82" t="s">
        <v>39</v>
      </c>
      <c r="F1181" s="83">
        <v>11</v>
      </c>
      <c r="G1181" s="84">
        <v>513.29999999999995</v>
      </c>
      <c r="H1181" s="85">
        <v>0</v>
      </c>
      <c r="I1181" s="86">
        <f t="shared" si="36"/>
        <v>5646.2999999999993</v>
      </c>
      <c r="J1181" s="86">
        <v>3218.39</v>
      </c>
      <c r="K1181" s="86">
        <f t="shared" si="37"/>
        <v>2427.9099999999994</v>
      </c>
      <c r="L1181" s="87" t="s">
        <v>63</v>
      </c>
      <c r="M1181" s="87" t="s">
        <v>68</v>
      </c>
      <c r="N1181" s="88" t="s">
        <v>74</v>
      </c>
    </row>
    <row r="1182" spans="1:14">
      <c r="A1182" s="81">
        <v>46161</v>
      </c>
      <c r="B1182" s="82" t="s">
        <v>1250</v>
      </c>
      <c r="C1182" s="82" t="s">
        <v>31</v>
      </c>
      <c r="D1182" s="82" t="s">
        <v>32</v>
      </c>
      <c r="E1182" s="82" t="s">
        <v>46</v>
      </c>
      <c r="F1182" s="83">
        <v>2</v>
      </c>
      <c r="G1182" s="84">
        <v>112.54</v>
      </c>
      <c r="H1182" s="85">
        <v>0.03</v>
      </c>
      <c r="I1182" s="86">
        <f t="shared" si="36"/>
        <v>218.32760000000002</v>
      </c>
      <c r="J1182" s="86">
        <v>108.04</v>
      </c>
      <c r="K1182" s="86">
        <f t="shared" si="37"/>
        <v>110.28760000000001</v>
      </c>
      <c r="L1182" s="87" t="s">
        <v>67</v>
      </c>
      <c r="M1182" s="87" t="s">
        <v>68</v>
      </c>
      <c r="N1182" s="88" t="s">
        <v>65</v>
      </c>
    </row>
    <row r="1183" spans="1:14">
      <c r="A1183" s="81">
        <v>46163</v>
      </c>
      <c r="B1183" s="82" t="s">
        <v>1251</v>
      </c>
      <c r="C1183" s="82" t="s">
        <v>31</v>
      </c>
      <c r="D1183" s="82" t="s">
        <v>37</v>
      </c>
      <c r="E1183" s="82" t="s">
        <v>47</v>
      </c>
      <c r="F1183" s="83">
        <v>9</v>
      </c>
      <c r="G1183" s="84">
        <v>141.63</v>
      </c>
      <c r="H1183" s="85">
        <v>0.1</v>
      </c>
      <c r="I1183" s="86">
        <f t="shared" si="36"/>
        <v>1147.2030000000002</v>
      </c>
      <c r="J1183" s="86">
        <v>586.35</v>
      </c>
      <c r="K1183" s="86">
        <f t="shared" si="37"/>
        <v>560.85300000000018</v>
      </c>
      <c r="L1183" s="87" t="s">
        <v>59</v>
      </c>
      <c r="M1183" s="87" t="s">
        <v>68</v>
      </c>
      <c r="N1183" s="88" t="s">
        <v>78</v>
      </c>
    </row>
    <row r="1184" spans="1:14">
      <c r="A1184" s="81">
        <v>46164</v>
      </c>
      <c r="B1184" s="82" t="s">
        <v>1252</v>
      </c>
      <c r="C1184" s="82" t="s">
        <v>40</v>
      </c>
      <c r="D1184" s="82" t="s">
        <v>32</v>
      </c>
      <c r="E1184" s="82" t="s">
        <v>46</v>
      </c>
      <c r="F1184" s="83">
        <v>10</v>
      </c>
      <c r="G1184" s="84">
        <v>111.37</v>
      </c>
      <c r="H1184" s="85">
        <v>0.1</v>
      </c>
      <c r="I1184" s="86">
        <f t="shared" si="36"/>
        <v>1002.33</v>
      </c>
      <c r="J1184" s="86">
        <v>534.58000000000004</v>
      </c>
      <c r="K1184" s="86">
        <f t="shared" si="37"/>
        <v>467.75</v>
      </c>
      <c r="L1184" s="87" t="s">
        <v>63</v>
      </c>
      <c r="M1184" s="87" t="s">
        <v>68</v>
      </c>
      <c r="N1184" s="88" t="s">
        <v>78</v>
      </c>
    </row>
    <row r="1185" spans="1:14">
      <c r="A1185" s="81">
        <v>46164</v>
      </c>
      <c r="B1185" s="82" t="s">
        <v>1253</v>
      </c>
      <c r="C1185" s="82" t="s">
        <v>40</v>
      </c>
      <c r="D1185" s="82" t="s">
        <v>27</v>
      </c>
      <c r="E1185" s="82" t="s">
        <v>25</v>
      </c>
      <c r="F1185" s="83">
        <v>10</v>
      </c>
      <c r="G1185" s="84">
        <v>1425.18</v>
      </c>
      <c r="H1185" s="85">
        <v>0</v>
      </c>
      <c r="I1185" s="86">
        <f t="shared" si="36"/>
        <v>14251.800000000001</v>
      </c>
      <c r="J1185" s="86">
        <v>9691.2199999999993</v>
      </c>
      <c r="K1185" s="86">
        <f t="shared" si="37"/>
        <v>4560.5800000000017</v>
      </c>
      <c r="L1185" s="87" t="s">
        <v>59</v>
      </c>
      <c r="M1185" s="87" t="s">
        <v>68</v>
      </c>
      <c r="N1185" s="88" t="s">
        <v>71</v>
      </c>
    </row>
    <row r="1186" spans="1:14">
      <c r="A1186" s="81">
        <v>46165</v>
      </c>
      <c r="B1186" s="82" t="s">
        <v>1254</v>
      </c>
      <c r="C1186" s="82" t="s">
        <v>31</v>
      </c>
      <c r="D1186" s="82" t="s">
        <v>27</v>
      </c>
      <c r="E1186" s="82" t="s">
        <v>30</v>
      </c>
      <c r="F1186" s="83">
        <v>11</v>
      </c>
      <c r="G1186" s="84">
        <v>732.56</v>
      </c>
      <c r="H1186" s="85">
        <v>0.03</v>
      </c>
      <c r="I1186" s="86">
        <f t="shared" si="36"/>
        <v>7816.4151999999995</v>
      </c>
      <c r="J1186" s="86">
        <v>5157.22</v>
      </c>
      <c r="K1186" s="86">
        <f t="shared" si="37"/>
        <v>2659.1951999999992</v>
      </c>
      <c r="L1186" s="87" t="s">
        <v>67</v>
      </c>
      <c r="M1186" s="87" t="s">
        <v>68</v>
      </c>
      <c r="N1186" s="88" t="s">
        <v>71</v>
      </c>
    </row>
    <row r="1187" spans="1:14">
      <c r="A1187" s="81">
        <v>46166</v>
      </c>
      <c r="B1187" s="82" t="s">
        <v>1255</v>
      </c>
      <c r="C1187" s="82" t="s">
        <v>31</v>
      </c>
      <c r="D1187" s="82" t="s">
        <v>27</v>
      </c>
      <c r="E1187" s="82" t="s">
        <v>30</v>
      </c>
      <c r="F1187" s="83">
        <v>6</v>
      </c>
      <c r="G1187" s="84">
        <v>741.13</v>
      </c>
      <c r="H1187" s="85">
        <v>0.12</v>
      </c>
      <c r="I1187" s="86">
        <f t="shared" si="36"/>
        <v>3913.1663999999996</v>
      </c>
      <c r="J1187" s="86">
        <v>2845.94</v>
      </c>
      <c r="K1187" s="86">
        <f t="shared" si="37"/>
        <v>1067.2263999999996</v>
      </c>
      <c r="L1187" s="87" t="s">
        <v>59</v>
      </c>
      <c r="M1187" s="87" t="s">
        <v>64</v>
      </c>
      <c r="N1187" s="88" t="s">
        <v>69</v>
      </c>
    </row>
    <row r="1188" spans="1:14">
      <c r="A1188" s="81">
        <v>46167</v>
      </c>
      <c r="B1188" s="82" t="s">
        <v>1256</v>
      </c>
      <c r="C1188" s="82" t="s">
        <v>31</v>
      </c>
      <c r="D1188" s="82" t="s">
        <v>32</v>
      </c>
      <c r="E1188" s="82" t="s">
        <v>42</v>
      </c>
      <c r="F1188" s="83">
        <v>9</v>
      </c>
      <c r="G1188" s="84">
        <v>918.96</v>
      </c>
      <c r="H1188" s="85">
        <v>0</v>
      </c>
      <c r="I1188" s="86">
        <f t="shared" si="36"/>
        <v>8270.64</v>
      </c>
      <c r="J1188" s="86">
        <v>5045.09</v>
      </c>
      <c r="K1188" s="86">
        <f t="shared" si="37"/>
        <v>3225.5499999999993</v>
      </c>
      <c r="L1188" s="87" t="s">
        <v>67</v>
      </c>
      <c r="M1188" s="87" t="s">
        <v>60</v>
      </c>
      <c r="N1188" s="88" t="s">
        <v>61</v>
      </c>
    </row>
    <row r="1189" spans="1:14">
      <c r="A1189" s="81">
        <v>46167</v>
      </c>
      <c r="B1189" s="82" t="s">
        <v>1257</v>
      </c>
      <c r="C1189" s="82" t="s">
        <v>40</v>
      </c>
      <c r="D1189" s="82" t="s">
        <v>32</v>
      </c>
      <c r="E1189" s="82" t="s">
        <v>42</v>
      </c>
      <c r="F1189" s="83">
        <v>6</v>
      </c>
      <c r="G1189" s="84">
        <v>869.68</v>
      </c>
      <c r="H1189" s="85">
        <v>0.03</v>
      </c>
      <c r="I1189" s="86">
        <f t="shared" si="36"/>
        <v>5061.5375999999997</v>
      </c>
      <c r="J1189" s="86">
        <v>3183.03</v>
      </c>
      <c r="K1189" s="86">
        <f t="shared" si="37"/>
        <v>1878.5075999999995</v>
      </c>
      <c r="L1189" s="87" t="s">
        <v>59</v>
      </c>
      <c r="M1189" s="87" t="s">
        <v>60</v>
      </c>
      <c r="N1189" s="88" t="s">
        <v>61</v>
      </c>
    </row>
    <row r="1190" spans="1:14">
      <c r="A1190" s="81">
        <v>46168</v>
      </c>
      <c r="B1190" s="82" t="s">
        <v>1258</v>
      </c>
      <c r="C1190" s="82" t="s">
        <v>26</v>
      </c>
      <c r="D1190" s="82" t="s">
        <v>32</v>
      </c>
      <c r="E1190" s="82" t="s">
        <v>46</v>
      </c>
      <c r="F1190" s="83">
        <v>3</v>
      </c>
      <c r="G1190" s="84">
        <v>114.35</v>
      </c>
      <c r="H1190" s="85">
        <v>0.12</v>
      </c>
      <c r="I1190" s="86">
        <f t="shared" si="36"/>
        <v>301.88399999999996</v>
      </c>
      <c r="J1190" s="86">
        <v>164.66</v>
      </c>
      <c r="K1190" s="86">
        <f t="shared" si="37"/>
        <v>137.22399999999996</v>
      </c>
      <c r="L1190" s="87" t="s">
        <v>67</v>
      </c>
      <c r="M1190" s="87" t="s">
        <v>68</v>
      </c>
      <c r="N1190" s="88" t="s">
        <v>69</v>
      </c>
    </row>
    <row r="1191" spans="1:14">
      <c r="A1191" s="81">
        <v>46168</v>
      </c>
      <c r="B1191" s="82" t="s">
        <v>1259</v>
      </c>
      <c r="C1191" s="82" t="s">
        <v>40</v>
      </c>
      <c r="D1191" s="82" t="s">
        <v>27</v>
      </c>
      <c r="E1191" s="82" t="s">
        <v>30</v>
      </c>
      <c r="F1191" s="83">
        <v>5</v>
      </c>
      <c r="G1191" s="84">
        <v>768.89</v>
      </c>
      <c r="H1191" s="85">
        <v>0.05</v>
      </c>
      <c r="I1191" s="86">
        <f t="shared" si="36"/>
        <v>3652.2274999999995</v>
      </c>
      <c r="J1191" s="86">
        <v>2460.4499999999998</v>
      </c>
      <c r="K1191" s="86">
        <f t="shared" si="37"/>
        <v>1191.7774999999997</v>
      </c>
      <c r="L1191" s="87" t="s">
        <v>63</v>
      </c>
      <c r="M1191" s="87" t="s">
        <v>64</v>
      </c>
      <c r="N1191" s="88" t="s">
        <v>69</v>
      </c>
    </row>
    <row r="1192" spans="1:14">
      <c r="A1192" s="81">
        <v>46168</v>
      </c>
      <c r="B1192" s="82" t="s">
        <v>1260</v>
      </c>
      <c r="C1192" s="82" t="s">
        <v>26</v>
      </c>
      <c r="D1192" s="82" t="s">
        <v>32</v>
      </c>
      <c r="E1192" s="82" t="s">
        <v>39</v>
      </c>
      <c r="F1192" s="83">
        <v>12</v>
      </c>
      <c r="G1192" s="84">
        <v>508.1</v>
      </c>
      <c r="H1192" s="85">
        <v>0.1</v>
      </c>
      <c r="I1192" s="86">
        <f t="shared" si="36"/>
        <v>5487.4800000000005</v>
      </c>
      <c r="J1192" s="86">
        <v>3475.4</v>
      </c>
      <c r="K1192" s="86">
        <f t="shared" si="37"/>
        <v>2012.0800000000004</v>
      </c>
      <c r="L1192" s="87" t="s">
        <v>67</v>
      </c>
      <c r="M1192" s="87" t="s">
        <v>68</v>
      </c>
      <c r="N1192" s="88" t="s">
        <v>74</v>
      </c>
    </row>
    <row r="1193" spans="1:14">
      <c r="A1193" s="81">
        <v>46169</v>
      </c>
      <c r="B1193" s="82" t="s">
        <v>1261</v>
      </c>
      <c r="C1193" s="82" t="s">
        <v>40</v>
      </c>
      <c r="D1193" s="82" t="s">
        <v>37</v>
      </c>
      <c r="E1193" s="82" t="s">
        <v>47</v>
      </c>
      <c r="F1193" s="83">
        <v>13</v>
      </c>
      <c r="G1193" s="84">
        <v>137.1</v>
      </c>
      <c r="H1193" s="85">
        <v>0.08</v>
      </c>
      <c r="I1193" s="86">
        <f t="shared" si="36"/>
        <v>1639.7160000000001</v>
      </c>
      <c r="J1193" s="86">
        <v>819.86</v>
      </c>
      <c r="K1193" s="86">
        <f t="shared" si="37"/>
        <v>819.85600000000011</v>
      </c>
      <c r="L1193" s="87" t="s">
        <v>59</v>
      </c>
      <c r="M1193" s="87" t="s">
        <v>68</v>
      </c>
      <c r="N1193" s="88" t="s">
        <v>71</v>
      </c>
    </row>
    <row r="1194" spans="1:14">
      <c r="A1194" s="81">
        <v>46172</v>
      </c>
      <c r="B1194" s="82" t="s">
        <v>1262</v>
      </c>
      <c r="C1194" s="82" t="s">
        <v>40</v>
      </c>
      <c r="D1194" s="82" t="s">
        <v>27</v>
      </c>
      <c r="E1194" s="82" t="s">
        <v>35</v>
      </c>
      <c r="F1194" s="83">
        <v>1</v>
      </c>
      <c r="G1194" s="84">
        <v>442.48</v>
      </c>
      <c r="H1194" s="85">
        <v>0</v>
      </c>
      <c r="I1194" s="86">
        <f t="shared" si="36"/>
        <v>442.48</v>
      </c>
      <c r="J1194" s="86">
        <v>265.49</v>
      </c>
      <c r="K1194" s="86">
        <f t="shared" si="37"/>
        <v>176.99</v>
      </c>
      <c r="L1194" s="87" t="s">
        <v>67</v>
      </c>
      <c r="M1194" s="87" t="s">
        <v>60</v>
      </c>
      <c r="N1194" s="88" t="s">
        <v>61</v>
      </c>
    </row>
    <row r="1195" spans="1:14">
      <c r="A1195" s="81">
        <v>46172</v>
      </c>
      <c r="B1195" s="82" t="s">
        <v>1263</v>
      </c>
      <c r="C1195" s="82" t="s">
        <v>31</v>
      </c>
      <c r="D1195" s="82" t="s">
        <v>37</v>
      </c>
      <c r="E1195" s="82" t="s">
        <v>48</v>
      </c>
      <c r="F1195" s="83">
        <v>5</v>
      </c>
      <c r="G1195" s="84">
        <v>80.91</v>
      </c>
      <c r="H1195" s="85">
        <v>0</v>
      </c>
      <c r="I1195" s="86">
        <f t="shared" si="36"/>
        <v>404.54999999999995</v>
      </c>
      <c r="J1195" s="86">
        <v>169.91</v>
      </c>
      <c r="K1195" s="86">
        <f t="shared" si="37"/>
        <v>234.63999999999996</v>
      </c>
      <c r="L1195" s="87" t="s">
        <v>59</v>
      </c>
      <c r="M1195" s="87" t="s">
        <v>60</v>
      </c>
      <c r="N1195" s="88" t="s">
        <v>74</v>
      </c>
    </row>
    <row r="1196" spans="1:14">
      <c r="A1196" s="81">
        <v>46174</v>
      </c>
      <c r="B1196" s="82" t="s">
        <v>1264</v>
      </c>
      <c r="C1196" s="82" t="s">
        <v>36</v>
      </c>
      <c r="D1196" s="82" t="s">
        <v>27</v>
      </c>
      <c r="E1196" s="82" t="s">
        <v>35</v>
      </c>
      <c r="F1196" s="83">
        <v>5</v>
      </c>
      <c r="G1196" s="84">
        <v>427.88</v>
      </c>
      <c r="H1196" s="85">
        <v>0.03</v>
      </c>
      <c r="I1196" s="86">
        <f t="shared" si="36"/>
        <v>2075.2179999999998</v>
      </c>
      <c r="J1196" s="86">
        <v>1283.6400000000001</v>
      </c>
      <c r="K1196" s="86">
        <f t="shared" si="37"/>
        <v>791.57799999999975</v>
      </c>
      <c r="L1196" s="87" t="s">
        <v>59</v>
      </c>
      <c r="M1196" s="87" t="s">
        <v>60</v>
      </c>
      <c r="N1196" s="88" t="s">
        <v>78</v>
      </c>
    </row>
    <row r="1197" spans="1:14">
      <c r="A1197" s="81">
        <v>46175</v>
      </c>
      <c r="B1197" s="82" t="s">
        <v>1265</v>
      </c>
      <c r="C1197" s="82" t="s">
        <v>31</v>
      </c>
      <c r="D1197" s="82" t="s">
        <v>37</v>
      </c>
      <c r="E1197" s="82" t="s">
        <v>48</v>
      </c>
      <c r="F1197" s="83">
        <v>5</v>
      </c>
      <c r="G1197" s="84">
        <v>82.65</v>
      </c>
      <c r="H1197" s="85">
        <v>0.03</v>
      </c>
      <c r="I1197" s="86">
        <f t="shared" si="36"/>
        <v>400.85249999999996</v>
      </c>
      <c r="J1197" s="86">
        <v>173.57</v>
      </c>
      <c r="K1197" s="86">
        <f t="shared" si="37"/>
        <v>227.28249999999997</v>
      </c>
      <c r="L1197" s="87" t="s">
        <v>67</v>
      </c>
      <c r="M1197" s="87" t="s">
        <v>60</v>
      </c>
      <c r="N1197" s="88" t="s">
        <v>78</v>
      </c>
    </row>
    <row r="1198" spans="1:14">
      <c r="A1198" s="81">
        <v>46175</v>
      </c>
      <c r="B1198" s="82" t="s">
        <v>1266</v>
      </c>
      <c r="C1198" s="82" t="s">
        <v>26</v>
      </c>
      <c r="D1198" s="82" t="s">
        <v>27</v>
      </c>
      <c r="E1198" s="82" t="s">
        <v>25</v>
      </c>
      <c r="F1198" s="83">
        <v>2</v>
      </c>
      <c r="G1198" s="84">
        <v>1420.43</v>
      </c>
      <c r="H1198" s="85">
        <v>0.1</v>
      </c>
      <c r="I1198" s="86">
        <f t="shared" si="36"/>
        <v>2556.7740000000003</v>
      </c>
      <c r="J1198" s="86">
        <v>1931.78</v>
      </c>
      <c r="K1198" s="86">
        <f t="shared" si="37"/>
        <v>624.99400000000037</v>
      </c>
      <c r="L1198" s="87" t="s">
        <v>59</v>
      </c>
      <c r="M1198" s="87" t="s">
        <v>68</v>
      </c>
      <c r="N1198" s="88" t="s">
        <v>69</v>
      </c>
    </row>
    <row r="1199" spans="1:14">
      <c r="A1199" s="81">
        <v>46177</v>
      </c>
      <c r="B1199" s="82" t="s">
        <v>1267</v>
      </c>
      <c r="C1199" s="82" t="s">
        <v>31</v>
      </c>
      <c r="D1199" s="82" t="s">
        <v>32</v>
      </c>
      <c r="E1199" s="82" t="s">
        <v>46</v>
      </c>
      <c r="F1199" s="83">
        <v>8</v>
      </c>
      <c r="G1199" s="84">
        <v>115.35</v>
      </c>
      <c r="H1199" s="85">
        <v>0.08</v>
      </c>
      <c r="I1199" s="86">
        <f t="shared" si="36"/>
        <v>848.976</v>
      </c>
      <c r="J1199" s="86">
        <v>442.94</v>
      </c>
      <c r="K1199" s="86">
        <f t="shared" si="37"/>
        <v>406.036</v>
      </c>
      <c r="L1199" s="87" t="s">
        <v>59</v>
      </c>
      <c r="M1199" s="87" t="s">
        <v>64</v>
      </c>
      <c r="N1199" s="88" t="s">
        <v>78</v>
      </c>
    </row>
    <row r="1200" spans="1:14">
      <c r="A1200" s="81">
        <v>46177</v>
      </c>
      <c r="B1200" s="82" t="s">
        <v>1268</v>
      </c>
      <c r="C1200" s="82" t="s">
        <v>36</v>
      </c>
      <c r="D1200" s="82" t="s">
        <v>32</v>
      </c>
      <c r="E1200" s="82" t="s">
        <v>46</v>
      </c>
      <c r="F1200" s="83">
        <v>8</v>
      </c>
      <c r="G1200" s="84">
        <v>114.9</v>
      </c>
      <c r="H1200" s="85">
        <v>0</v>
      </c>
      <c r="I1200" s="86">
        <f t="shared" si="36"/>
        <v>919.2</v>
      </c>
      <c r="J1200" s="86">
        <v>441.22</v>
      </c>
      <c r="K1200" s="86">
        <f t="shared" si="37"/>
        <v>477.98</v>
      </c>
      <c r="L1200" s="87" t="s">
        <v>63</v>
      </c>
      <c r="M1200" s="87" t="s">
        <v>64</v>
      </c>
      <c r="N1200" s="88" t="s">
        <v>65</v>
      </c>
    </row>
    <row r="1201" spans="1:14">
      <c r="A1201" s="81">
        <v>46177</v>
      </c>
      <c r="B1201" s="82" t="s">
        <v>1269</v>
      </c>
      <c r="C1201" s="82" t="s">
        <v>31</v>
      </c>
      <c r="D1201" s="82" t="s">
        <v>27</v>
      </c>
      <c r="E1201" s="82" t="s">
        <v>35</v>
      </c>
      <c r="F1201" s="83">
        <v>6</v>
      </c>
      <c r="G1201" s="84">
        <v>418.31</v>
      </c>
      <c r="H1201" s="85">
        <v>0.05</v>
      </c>
      <c r="I1201" s="86">
        <f t="shared" si="36"/>
        <v>2384.3670000000002</v>
      </c>
      <c r="J1201" s="86">
        <v>1505.92</v>
      </c>
      <c r="K1201" s="86">
        <f t="shared" si="37"/>
        <v>878.44700000000012</v>
      </c>
      <c r="L1201" s="87" t="s">
        <v>63</v>
      </c>
      <c r="M1201" s="87" t="s">
        <v>68</v>
      </c>
      <c r="N1201" s="88" t="s">
        <v>69</v>
      </c>
    </row>
    <row r="1202" spans="1:14">
      <c r="A1202" s="81">
        <v>46178</v>
      </c>
      <c r="B1202" s="82" t="s">
        <v>1270</v>
      </c>
      <c r="C1202" s="82" t="s">
        <v>31</v>
      </c>
      <c r="D1202" s="82" t="s">
        <v>27</v>
      </c>
      <c r="E1202" s="82" t="s">
        <v>35</v>
      </c>
      <c r="F1202" s="83">
        <v>9</v>
      </c>
      <c r="G1202" s="84">
        <v>409.13</v>
      </c>
      <c r="H1202" s="85">
        <v>0.1</v>
      </c>
      <c r="I1202" s="86">
        <f t="shared" si="36"/>
        <v>3313.953</v>
      </c>
      <c r="J1202" s="86">
        <v>2209.3000000000002</v>
      </c>
      <c r="K1202" s="86">
        <f t="shared" si="37"/>
        <v>1104.6529999999998</v>
      </c>
      <c r="L1202" s="87" t="s">
        <v>59</v>
      </c>
      <c r="M1202" s="87" t="s">
        <v>64</v>
      </c>
      <c r="N1202" s="88" t="s">
        <v>71</v>
      </c>
    </row>
    <row r="1203" spans="1:14">
      <c r="A1203" s="81">
        <v>46181</v>
      </c>
      <c r="B1203" s="82" t="s">
        <v>1271</v>
      </c>
      <c r="C1203" s="82" t="s">
        <v>40</v>
      </c>
      <c r="D1203" s="82" t="s">
        <v>32</v>
      </c>
      <c r="E1203" s="82" t="s">
        <v>46</v>
      </c>
      <c r="F1203" s="83">
        <v>3</v>
      </c>
      <c r="G1203" s="84">
        <v>116.13</v>
      </c>
      <c r="H1203" s="85">
        <v>0.12</v>
      </c>
      <c r="I1203" s="86">
        <f t="shared" si="36"/>
        <v>306.58319999999998</v>
      </c>
      <c r="J1203" s="86">
        <v>167.23</v>
      </c>
      <c r="K1203" s="86">
        <f t="shared" si="37"/>
        <v>139.35319999999999</v>
      </c>
      <c r="L1203" s="87" t="s">
        <v>59</v>
      </c>
      <c r="M1203" s="87" t="s">
        <v>64</v>
      </c>
      <c r="N1203" s="88" t="s">
        <v>69</v>
      </c>
    </row>
    <row r="1204" spans="1:14">
      <c r="A1204" s="81">
        <v>46182</v>
      </c>
      <c r="B1204" s="82" t="s">
        <v>1272</v>
      </c>
      <c r="C1204" s="82" t="s">
        <v>26</v>
      </c>
      <c r="D1204" s="82" t="s">
        <v>32</v>
      </c>
      <c r="E1204" s="82" t="s">
        <v>39</v>
      </c>
      <c r="F1204" s="83">
        <v>10</v>
      </c>
      <c r="G1204" s="84">
        <v>507.93</v>
      </c>
      <c r="H1204" s="85">
        <v>0.12</v>
      </c>
      <c r="I1204" s="86">
        <f t="shared" si="36"/>
        <v>4469.7840000000006</v>
      </c>
      <c r="J1204" s="86">
        <v>2895.2</v>
      </c>
      <c r="K1204" s="86">
        <f t="shared" si="37"/>
        <v>1574.5840000000007</v>
      </c>
      <c r="L1204" s="87" t="s">
        <v>67</v>
      </c>
      <c r="M1204" s="87" t="s">
        <v>68</v>
      </c>
      <c r="N1204" s="88" t="s">
        <v>74</v>
      </c>
    </row>
    <row r="1205" spans="1:14">
      <c r="A1205" s="81">
        <v>46182</v>
      </c>
      <c r="B1205" s="82" t="s">
        <v>1273</v>
      </c>
      <c r="C1205" s="82" t="s">
        <v>31</v>
      </c>
      <c r="D1205" s="82" t="s">
        <v>32</v>
      </c>
      <c r="E1205" s="82" t="s">
        <v>46</v>
      </c>
      <c r="F1205" s="83">
        <v>4</v>
      </c>
      <c r="G1205" s="84">
        <v>111.05</v>
      </c>
      <c r="H1205" s="85">
        <v>0.12</v>
      </c>
      <c r="I1205" s="86">
        <f t="shared" si="36"/>
        <v>390.89600000000002</v>
      </c>
      <c r="J1205" s="86">
        <v>213.22</v>
      </c>
      <c r="K1205" s="86">
        <f t="shared" si="37"/>
        <v>177.67600000000002</v>
      </c>
      <c r="L1205" s="87" t="s">
        <v>67</v>
      </c>
      <c r="M1205" s="87" t="s">
        <v>64</v>
      </c>
      <c r="N1205" s="88" t="s">
        <v>71</v>
      </c>
    </row>
    <row r="1206" spans="1:14">
      <c r="A1206" s="81">
        <v>46184</v>
      </c>
      <c r="B1206" s="82" t="s">
        <v>1274</v>
      </c>
      <c r="C1206" s="82" t="s">
        <v>26</v>
      </c>
      <c r="D1206" s="82" t="s">
        <v>32</v>
      </c>
      <c r="E1206" s="82" t="s">
        <v>46</v>
      </c>
      <c r="F1206" s="83">
        <v>6</v>
      </c>
      <c r="G1206" s="84">
        <v>109.09</v>
      </c>
      <c r="H1206" s="85">
        <v>0.03</v>
      </c>
      <c r="I1206" s="86">
        <f t="shared" si="36"/>
        <v>634.90379999999993</v>
      </c>
      <c r="J1206" s="86">
        <v>314.18</v>
      </c>
      <c r="K1206" s="86">
        <f t="shared" si="37"/>
        <v>320.72379999999993</v>
      </c>
      <c r="L1206" s="87" t="s">
        <v>63</v>
      </c>
      <c r="M1206" s="87" t="s">
        <v>64</v>
      </c>
      <c r="N1206" s="88" t="s">
        <v>65</v>
      </c>
    </row>
    <row r="1207" spans="1:14">
      <c r="A1207" s="81">
        <v>46184</v>
      </c>
      <c r="B1207" s="82" t="s">
        <v>1275</v>
      </c>
      <c r="C1207" s="82" t="s">
        <v>36</v>
      </c>
      <c r="D1207" s="82" t="s">
        <v>27</v>
      </c>
      <c r="E1207" s="82" t="s">
        <v>30</v>
      </c>
      <c r="F1207" s="83">
        <v>1</v>
      </c>
      <c r="G1207" s="84">
        <v>756.88</v>
      </c>
      <c r="H1207" s="85">
        <v>0</v>
      </c>
      <c r="I1207" s="86">
        <f t="shared" si="36"/>
        <v>756.88</v>
      </c>
      <c r="J1207" s="86">
        <v>484.4</v>
      </c>
      <c r="K1207" s="86">
        <f t="shared" si="37"/>
        <v>272.48</v>
      </c>
      <c r="L1207" s="87" t="s">
        <v>67</v>
      </c>
      <c r="M1207" s="87" t="s">
        <v>60</v>
      </c>
      <c r="N1207" s="88" t="s">
        <v>69</v>
      </c>
    </row>
    <row r="1208" spans="1:14">
      <c r="A1208" s="81">
        <v>46185</v>
      </c>
      <c r="B1208" s="82" t="s">
        <v>1276</v>
      </c>
      <c r="C1208" s="82" t="s">
        <v>40</v>
      </c>
      <c r="D1208" s="82" t="s">
        <v>27</v>
      </c>
      <c r="E1208" s="82" t="s">
        <v>25</v>
      </c>
      <c r="F1208" s="83">
        <v>2</v>
      </c>
      <c r="G1208" s="84">
        <v>1340.5</v>
      </c>
      <c r="H1208" s="85">
        <v>0.12</v>
      </c>
      <c r="I1208" s="86">
        <f t="shared" si="36"/>
        <v>2359.2800000000002</v>
      </c>
      <c r="J1208" s="86">
        <v>1823.08</v>
      </c>
      <c r="K1208" s="86">
        <f t="shared" si="37"/>
        <v>536.20000000000027</v>
      </c>
      <c r="L1208" s="87" t="s">
        <v>59</v>
      </c>
      <c r="M1208" s="87" t="s">
        <v>64</v>
      </c>
      <c r="N1208" s="88" t="s">
        <v>69</v>
      </c>
    </row>
    <row r="1209" spans="1:14">
      <c r="A1209" s="81">
        <v>46186</v>
      </c>
      <c r="B1209" s="82" t="s">
        <v>1277</v>
      </c>
      <c r="C1209" s="82" t="s">
        <v>26</v>
      </c>
      <c r="D1209" s="82" t="s">
        <v>37</v>
      </c>
      <c r="E1209" s="82" t="s">
        <v>48</v>
      </c>
      <c r="F1209" s="83">
        <v>6</v>
      </c>
      <c r="G1209" s="84">
        <v>81.37</v>
      </c>
      <c r="H1209" s="85">
        <v>0.12</v>
      </c>
      <c r="I1209" s="86">
        <f t="shared" si="36"/>
        <v>429.6336</v>
      </c>
      <c r="J1209" s="86">
        <v>205.05</v>
      </c>
      <c r="K1209" s="86">
        <f t="shared" si="37"/>
        <v>224.58359999999999</v>
      </c>
      <c r="L1209" s="87" t="s">
        <v>59</v>
      </c>
      <c r="M1209" s="87" t="s">
        <v>68</v>
      </c>
      <c r="N1209" s="88" t="s">
        <v>69</v>
      </c>
    </row>
    <row r="1210" spans="1:14">
      <c r="A1210" s="81">
        <v>46186</v>
      </c>
      <c r="B1210" s="82" t="s">
        <v>1278</v>
      </c>
      <c r="C1210" s="82" t="s">
        <v>40</v>
      </c>
      <c r="D1210" s="82" t="s">
        <v>37</v>
      </c>
      <c r="E1210" s="82" t="s">
        <v>47</v>
      </c>
      <c r="F1210" s="83">
        <v>5</v>
      </c>
      <c r="G1210" s="84">
        <v>148.07</v>
      </c>
      <c r="H1210" s="85">
        <v>0.12</v>
      </c>
      <c r="I1210" s="86">
        <f t="shared" si="36"/>
        <v>651.50799999999992</v>
      </c>
      <c r="J1210" s="86">
        <v>340.56</v>
      </c>
      <c r="K1210" s="86">
        <f t="shared" si="37"/>
        <v>310.94799999999992</v>
      </c>
      <c r="L1210" s="87" t="s">
        <v>63</v>
      </c>
      <c r="M1210" s="87" t="s">
        <v>64</v>
      </c>
      <c r="N1210" s="88" t="s">
        <v>71</v>
      </c>
    </row>
    <row r="1211" spans="1:14">
      <c r="A1211" s="81">
        <v>46188</v>
      </c>
      <c r="B1211" s="82" t="s">
        <v>1279</v>
      </c>
      <c r="C1211" s="82" t="s">
        <v>26</v>
      </c>
      <c r="D1211" s="82" t="s">
        <v>32</v>
      </c>
      <c r="E1211" s="82" t="s">
        <v>39</v>
      </c>
      <c r="F1211" s="83">
        <v>4</v>
      </c>
      <c r="G1211" s="84">
        <v>536.58000000000004</v>
      </c>
      <c r="H1211" s="85">
        <v>0</v>
      </c>
      <c r="I1211" s="86">
        <f t="shared" si="36"/>
        <v>2146.3200000000002</v>
      </c>
      <c r="J1211" s="86">
        <v>1223.4000000000001</v>
      </c>
      <c r="K1211" s="86">
        <f t="shared" si="37"/>
        <v>922.92000000000007</v>
      </c>
      <c r="L1211" s="87" t="s">
        <v>63</v>
      </c>
      <c r="M1211" s="87" t="s">
        <v>64</v>
      </c>
      <c r="N1211" s="88" t="s">
        <v>71</v>
      </c>
    </row>
    <row r="1212" spans="1:14">
      <c r="A1212" s="81">
        <v>46189</v>
      </c>
      <c r="B1212" s="82" t="s">
        <v>1280</v>
      </c>
      <c r="C1212" s="82" t="s">
        <v>40</v>
      </c>
      <c r="D1212" s="82" t="s">
        <v>32</v>
      </c>
      <c r="E1212" s="82" t="s">
        <v>46</v>
      </c>
      <c r="F1212" s="83">
        <v>5</v>
      </c>
      <c r="G1212" s="84">
        <v>109.56</v>
      </c>
      <c r="H1212" s="85">
        <v>0</v>
      </c>
      <c r="I1212" s="86">
        <f t="shared" si="36"/>
        <v>547.79999999999995</v>
      </c>
      <c r="J1212" s="86">
        <v>262.94</v>
      </c>
      <c r="K1212" s="86">
        <f t="shared" si="37"/>
        <v>284.85999999999996</v>
      </c>
      <c r="L1212" s="87" t="s">
        <v>59</v>
      </c>
      <c r="M1212" s="87" t="s">
        <v>64</v>
      </c>
      <c r="N1212" s="88" t="s">
        <v>61</v>
      </c>
    </row>
    <row r="1213" spans="1:14">
      <c r="A1213" s="81">
        <v>46189</v>
      </c>
      <c r="B1213" s="82" t="s">
        <v>1281</v>
      </c>
      <c r="C1213" s="82" t="s">
        <v>40</v>
      </c>
      <c r="D1213" s="82" t="s">
        <v>27</v>
      </c>
      <c r="E1213" s="82" t="s">
        <v>35</v>
      </c>
      <c r="F1213" s="83">
        <v>3</v>
      </c>
      <c r="G1213" s="84">
        <v>446.31</v>
      </c>
      <c r="H1213" s="85">
        <v>0.03</v>
      </c>
      <c r="I1213" s="86">
        <f t="shared" si="36"/>
        <v>1298.7620999999999</v>
      </c>
      <c r="J1213" s="86">
        <v>803.36</v>
      </c>
      <c r="K1213" s="86">
        <f t="shared" si="37"/>
        <v>495.4020999999999</v>
      </c>
      <c r="L1213" s="87" t="s">
        <v>67</v>
      </c>
      <c r="M1213" s="87" t="s">
        <v>64</v>
      </c>
      <c r="N1213" s="88" t="s">
        <v>61</v>
      </c>
    </row>
    <row r="1214" spans="1:14">
      <c r="A1214" s="81">
        <v>46189</v>
      </c>
      <c r="B1214" s="82" t="s">
        <v>1282</v>
      </c>
      <c r="C1214" s="82" t="s">
        <v>36</v>
      </c>
      <c r="D1214" s="82" t="s">
        <v>37</v>
      </c>
      <c r="E1214" s="82" t="s">
        <v>48</v>
      </c>
      <c r="F1214" s="83">
        <v>3</v>
      </c>
      <c r="G1214" s="84">
        <v>82.23</v>
      </c>
      <c r="H1214" s="85">
        <v>0.1</v>
      </c>
      <c r="I1214" s="86">
        <f t="shared" si="36"/>
        <v>222.02100000000002</v>
      </c>
      <c r="J1214" s="86">
        <v>103.61</v>
      </c>
      <c r="K1214" s="86">
        <f t="shared" si="37"/>
        <v>118.41100000000002</v>
      </c>
      <c r="L1214" s="87" t="s">
        <v>67</v>
      </c>
      <c r="M1214" s="87" t="s">
        <v>64</v>
      </c>
      <c r="N1214" s="88" t="s">
        <v>74</v>
      </c>
    </row>
    <row r="1215" spans="1:14">
      <c r="A1215" s="81">
        <v>46190</v>
      </c>
      <c r="B1215" s="82" t="s">
        <v>1283</v>
      </c>
      <c r="C1215" s="82" t="s">
        <v>26</v>
      </c>
      <c r="D1215" s="82" t="s">
        <v>27</v>
      </c>
      <c r="E1215" s="82" t="s">
        <v>35</v>
      </c>
      <c r="F1215" s="83">
        <v>8</v>
      </c>
      <c r="G1215" s="84">
        <v>422.42</v>
      </c>
      <c r="H1215" s="85">
        <v>0.03</v>
      </c>
      <c r="I1215" s="86">
        <f t="shared" si="36"/>
        <v>3277.9792000000002</v>
      </c>
      <c r="J1215" s="86">
        <v>2027.62</v>
      </c>
      <c r="K1215" s="86">
        <f t="shared" si="37"/>
        <v>1250.3592000000003</v>
      </c>
      <c r="L1215" s="87" t="s">
        <v>67</v>
      </c>
      <c r="M1215" s="87" t="s">
        <v>64</v>
      </c>
      <c r="N1215" s="88" t="s">
        <v>65</v>
      </c>
    </row>
    <row r="1216" spans="1:14">
      <c r="A1216" s="81">
        <v>46190</v>
      </c>
      <c r="B1216" s="82" t="s">
        <v>1284</v>
      </c>
      <c r="C1216" s="82" t="s">
        <v>31</v>
      </c>
      <c r="D1216" s="82" t="s">
        <v>37</v>
      </c>
      <c r="E1216" s="82" t="s">
        <v>48</v>
      </c>
      <c r="F1216" s="83">
        <v>9</v>
      </c>
      <c r="G1216" s="84">
        <v>81.53</v>
      </c>
      <c r="H1216" s="85">
        <v>0</v>
      </c>
      <c r="I1216" s="86">
        <f t="shared" si="36"/>
        <v>733.77</v>
      </c>
      <c r="J1216" s="86">
        <v>308.18</v>
      </c>
      <c r="K1216" s="86">
        <f t="shared" si="37"/>
        <v>425.59</v>
      </c>
      <c r="L1216" s="87" t="s">
        <v>67</v>
      </c>
      <c r="M1216" s="87" t="s">
        <v>60</v>
      </c>
      <c r="N1216" s="88" t="s">
        <v>61</v>
      </c>
    </row>
    <row r="1217" spans="1:14">
      <c r="A1217" s="81">
        <v>46190</v>
      </c>
      <c r="B1217" s="82" t="s">
        <v>1285</v>
      </c>
      <c r="C1217" s="82" t="s">
        <v>31</v>
      </c>
      <c r="D1217" s="82" t="s">
        <v>32</v>
      </c>
      <c r="E1217" s="82" t="s">
        <v>42</v>
      </c>
      <c r="F1217" s="83">
        <v>5</v>
      </c>
      <c r="G1217" s="84">
        <v>921.66</v>
      </c>
      <c r="H1217" s="85">
        <v>0</v>
      </c>
      <c r="I1217" s="86">
        <f t="shared" si="36"/>
        <v>4608.3</v>
      </c>
      <c r="J1217" s="86">
        <v>2811.06</v>
      </c>
      <c r="K1217" s="86">
        <f t="shared" si="37"/>
        <v>1797.2400000000002</v>
      </c>
      <c r="L1217" s="87" t="s">
        <v>63</v>
      </c>
      <c r="M1217" s="87" t="s">
        <v>68</v>
      </c>
      <c r="N1217" s="88" t="s">
        <v>71</v>
      </c>
    </row>
    <row r="1218" spans="1:14">
      <c r="A1218" s="81">
        <v>46193</v>
      </c>
      <c r="B1218" s="82" t="s">
        <v>1286</v>
      </c>
      <c r="C1218" s="82" t="s">
        <v>26</v>
      </c>
      <c r="D1218" s="82" t="s">
        <v>32</v>
      </c>
      <c r="E1218" s="82" t="s">
        <v>42</v>
      </c>
      <c r="F1218" s="83">
        <v>7</v>
      </c>
      <c r="G1218" s="84">
        <v>884.46</v>
      </c>
      <c r="H1218" s="85">
        <v>0.12</v>
      </c>
      <c r="I1218" s="86">
        <f t="shared" ref="I1218:I1281" si="38">F1218*G1218*(1-H1218)</f>
        <v>5448.2736000000004</v>
      </c>
      <c r="J1218" s="86">
        <v>3776.64</v>
      </c>
      <c r="K1218" s="86">
        <f t="shared" ref="K1218:K1281" si="39">I1218-J1218</f>
        <v>1671.6336000000006</v>
      </c>
      <c r="L1218" s="87" t="s">
        <v>67</v>
      </c>
      <c r="M1218" s="87" t="s">
        <v>60</v>
      </c>
      <c r="N1218" s="88" t="s">
        <v>74</v>
      </c>
    </row>
    <row r="1219" spans="1:14">
      <c r="A1219" s="81">
        <v>46194</v>
      </c>
      <c r="B1219" s="82" t="s">
        <v>1287</v>
      </c>
      <c r="C1219" s="82" t="s">
        <v>26</v>
      </c>
      <c r="D1219" s="82" t="s">
        <v>32</v>
      </c>
      <c r="E1219" s="82" t="s">
        <v>39</v>
      </c>
      <c r="F1219" s="83">
        <v>6</v>
      </c>
      <c r="G1219" s="84">
        <v>536.48</v>
      </c>
      <c r="H1219" s="85">
        <v>0.08</v>
      </c>
      <c r="I1219" s="86">
        <f t="shared" si="38"/>
        <v>2961.3696000000004</v>
      </c>
      <c r="J1219" s="86">
        <v>1834.76</v>
      </c>
      <c r="K1219" s="86">
        <f t="shared" si="39"/>
        <v>1126.6096000000005</v>
      </c>
      <c r="L1219" s="87" t="s">
        <v>63</v>
      </c>
      <c r="M1219" s="87" t="s">
        <v>68</v>
      </c>
      <c r="N1219" s="88" t="s">
        <v>78</v>
      </c>
    </row>
    <row r="1220" spans="1:14">
      <c r="A1220" s="81">
        <v>46198</v>
      </c>
      <c r="B1220" s="82" t="s">
        <v>1288</v>
      </c>
      <c r="C1220" s="82" t="s">
        <v>31</v>
      </c>
      <c r="D1220" s="82" t="s">
        <v>32</v>
      </c>
      <c r="E1220" s="82" t="s">
        <v>42</v>
      </c>
      <c r="F1220" s="83">
        <v>7</v>
      </c>
      <c r="G1220" s="84">
        <v>925.98</v>
      </c>
      <c r="H1220" s="85">
        <v>0.12</v>
      </c>
      <c r="I1220" s="86">
        <f t="shared" si="38"/>
        <v>5704.0368000000008</v>
      </c>
      <c r="J1220" s="86">
        <v>3953.93</v>
      </c>
      <c r="K1220" s="86">
        <f t="shared" si="39"/>
        <v>1750.1068000000009</v>
      </c>
      <c r="L1220" s="87" t="s">
        <v>67</v>
      </c>
      <c r="M1220" s="87" t="s">
        <v>60</v>
      </c>
      <c r="N1220" s="88" t="s">
        <v>69</v>
      </c>
    </row>
    <row r="1221" spans="1:14">
      <c r="A1221" s="81">
        <v>46199</v>
      </c>
      <c r="B1221" s="82" t="s">
        <v>1289</v>
      </c>
      <c r="C1221" s="82" t="s">
        <v>40</v>
      </c>
      <c r="D1221" s="82" t="s">
        <v>27</v>
      </c>
      <c r="E1221" s="82" t="s">
        <v>30</v>
      </c>
      <c r="F1221" s="83">
        <v>3</v>
      </c>
      <c r="G1221" s="84">
        <v>703.3</v>
      </c>
      <c r="H1221" s="85">
        <v>0.1</v>
      </c>
      <c r="I1221" s="86">
        <f t="shared" si="38"/>
        <v>1898.9099999999996</v>
      </c>
      <c r="J1221" s="86">
        <v>1350.34</v>
      </c>
      <c r="K1221" s="86">
        <f t="shared" si="39"/>
        <v>548.56999999999971</v>
      </c>
      <c r="L1221" s="87" t="s">
        <v>63</v>
      </c>
      <c r="M1221" s="87" t="s">
        <v>64</v>
      </c>
      <c r="N1221" s="88" t="s">
        <v>65</v>
      </c>
    </row>
    <row r="1222" spans="1:14">
      <c r="A1222" s="81">
        <v>46199</v>
      </c>
      <c r="B1222" s="82" t="s">
        <v>1290</v>
      </c>
      <c r="C1222" s="82" t="s">
        <v>31</v>
      </c>
      <c r="D1222" s="82" t="s">
        <v>27</v>
      </c>
      <c r="E1222" s="82" t="s">
        <v>30</v>
      </c>
      <c r="F1222" s="83">
        <v>2</v>
      </c>
      <c r="G1222" s="84">
        <v>705.39</v>
      </c>
      <c r="H1222" s="85">
        <v>0</v>
      </c>
      <c r="I1222" s="86">
        <f t="shared" si="38"/>
        <v>1410.78</v>
      </c>
      <c r="J1222" s="86">
        <v>902.9</v>
      </c>
      <c r="K1222" s="86">
        <f t="shared" si="39"/>
        <v>507.88</v>
      </c>
      <c r="L1222" s="87" t="s">
        <v>59</v>
      </c>
      <c r="M1222" s="87" t="s">
        <v>60</v>
      </c>
      <c r="N1222" s="88" t="s">
        <v>69</v>
      </c>
    </row>
    <row r="1223" spans="1:14">
      <c r="A1223" s="81">
        <v>46199</v>
      </c>
      <c r="B1223" s="82" t="s">
        <v>1291</v>
      </c>
      <c r="C1223" s="82" t="s">
        <v>26</v>
      </c>
      <c r="D1223" s="82" t="s">
        <v>37</v>
      </c>
      <c r="E1223" s="82" t="s">
        <v>47</v>
      </c>
      <c r="F1223" s="83">
        <v>9</v>
      </c>
      <c r="G1223" s="84">
        <v>136.55000000000001</v>
      </c>
      <c r="H1223" s="85">
        <v>0.08</v>
      </c>
      <c r="I1223" s="86">
        <f t="shared" si="38"/>
        <v>1130.634</v>
      </c>
      <c r="J1223" s="86">
        <v>565.32000000000005</v>
      </c>
      <c r="K1223" s="86">
        <f t="shared" si="39"/>
        <v>565.31399999999996</v>
      </c>
      <c r="L1223" s="87" t="s">
        <v>67</v>
      </c>
      <c r="M1223" s="87" t="s">
        <v>68</v>
      </c>
      <c r="N1223" s="88" t="s">
        <v>74</v>
      </c>
    </row>
    <row r="1224" spans="1:14">
      <c r="A1224" s="81">
        <v>46200</v>
      </c>
      <c r="B1224" s="82" t="s">
        <v>1292</v>
      </c>
      <c r="C1224" s="82" t="s">
        <v>31</v>
      </c>
      <c r="D1224" s="82" t="s">
        <v>27</v>
      </c>
      <c r="E1224" s="82" t="s">
        <v>35</v>
      </c>
      <c r="F1224" s="83">
        <v>6</v>
      </c>
      <c r="G1224" s="84">
        <v>448.92</v>
      </c>
      <c r="H1224" s="85">
        <v>0</v>
      </c>
      <c r="I1224" s="86">
        <f t="shared" si="38"/>
        <v>2693.52</v>
      </c>
      <c r="J1224" s="86">
        <v>1616.11</v>
      </c>
      <c r="K1224" s="86">
        <f t="shared" si="39"/>
        <v>1077.4100000000001</v>
      </c>
      <c r="L1224" s="87" t="s">
        <v>63</v>
      </c>
      <c r="M1224" s="87" t="s">
        <v>60</v>
      </c>
      <c r="N1224" s="88" t="s">
        <v>69</v>
      </c>
    </row>
    <row r="1225" spans="1:14">
      <c r="A1225" s="81">
        <v>46200</v>
      </c>
      <c r="B1225" s="82" t="s">
        <v>1293</v>
      </c>
      <c r="C1225" s="82" t="s">
        <v>31</v>
      </c>
      <c r="D1225" s="82" t="s">
        <v>32</v>
      </c>
      <c r="E1225" s="82" t="s">
        <v>39</v>
      </c>
      <c r="F1225" s="83">
        <v>5</v>
      </c>
      <c r="G1225" s="84">
        <v>531.19000000000005</v>
      </c>
      <c r="H1225" s="85">
        <v>0</v>
      </c>
      <c r="I1225" s="86">
        <f t="shared" si="38"/>
        <v>2655.9500000000003</v>
      </c>
      <c r="J1225" s="86">
        <v>1513.89</v>
      </c>
      <c r="K1225" s="86">
        <f t="shared" si="39"/>
        <v>1142.0600000000002</v>
      </c>
      <c r="L1225" s="87" t="s">
        <v>67</v>
      </c>
      <c r="M1225" s="87" t="s">
        <v>60</v>
      </c>
      <c r="N1225" s="88" t="s">
        <v>69</v>
      </c>
    </row>
    <row r="1226" spans="1:14">
      <c r="A1226" s="81">
        <v>46202</v>
      </c>
      <c r="B1226" s="82" t="s">
        <v>1294</v>
      </c>
      <c r="C1226" s="82" t="s">
        <v>31</v>
      </c>
      <c r="D1226" s="82" t="s">
        <v>27</v>
      </c>
      <c r="E1226" s="82" t="s">
        <v>30</v>
      </c>
      <c r="F1226" s="83">
        <v>4</v>
      </c>
      <c r="G1226" s="84">
        <v>768.59</v>
      </c>
      <c r="H1226" s="85">
        <v>0.1</v>
      </c>
      <c r="I1226" s="86">
        <f t="shared" si="38"/>
        <v>2766.924</v>
      </c>
      <c r="J1226" s="86">
        <v>1967.59</v>
      </c>
      <c r="K1226" s="86">
        <f t="shared" si="39"/>
        <v>799.33400000000006</v>
      </c>
      <c r="L1226" s="87" t="s">
        <v>59</v>
      </c>
      <c r="M1226" s="87" t="s">
        <v>60</v>
      </c>
      <c r="N1226" s="88" t="s">
        <v>78</v>
      </c>
    </row>
    <row r="1227" spans="1:14">
      <c r="A1227" s="81">
        <v>46202</v>
      </c>
      <c r="B1227" s="82" t="s">
        <v>1295</v>
      </c>
      <c r="C1227" s="82" t="s">
        <v>26</v>
      </c>
      <c r="D1227" s="82" t="s">
        <v>32</v>
      </c>
      <c r="E1227" s="82" t="s">
        <v>46</v>
      </c>
      <c r="F1227" s="83">
        <v>6</v>
      </c>
      <c r="G1227" s="84">
        <v>117.97</v>
      </c>
      <c r="H1227" s="85">
        <v>0.05</v>
      </c>
      <c r="I1227" s="86">
        <f t="shared" si="38"/>
        <v>672.42899999999986</v>
      </c>
      <c r="J1227" s="86">
        <v>339.75</v>
      </c>
      <c r="K1227" s="86">
        <f t="shared" si="39"/>
        <v>332.67899999999986</v>
      </c>
      <c r="L1227" s="87" t="s">
        <v>63</v>
      </c>
      <c r="M1227" s="87" t="s">
        <v>60</v>
      </c>
      <c r="N1227" s="88" t="s">
        <v>74</v>
      </c>
    </row>
    <row r="1228" spans="1:14">
      <c r="A1228" s="81">
        <v>46203</v>
      </c>
      <c r="B1228" s="82" t="s">
        <v>1296</v>
      </c>
      <c r="C1228" s="82" t="s">
        <v>36</v>
      </c>
      <c r="D1228" s="82" t="s">
        <v>37</v>
      </c>
      <c r="E1228" s="82" t="s">
        <v>48</v>
      </c>
      <c r="F1228" s="83">
        <v>3</v>
      </c>
      <c r="G1228" s="84">
        <v>83.88</v>
      </c>
      <c r="H1228" s="85">
        <v>0.12</v>
      </c>
      <c r="I1228" s="86">
        <f t="shared" si="38"/>
        <v>221.44319999999999</v>
      </c>
      <c r="J1228" s="86">
        <v>105.69</v>
      </c>
      <c r="K1228" s="86">
        <f t="shared" si="39"/>
        <v>115.75319999999999</v>
      </c>
      <c r="L1228" s="87" t="s">
        <v>59</v>
      </c>
      <c r="M1228" s="87" t="s">
        <v>68</v>
      </c>
      <c r="N1228" s="88" t="s">
        <v>71</v>
      </c>
    </row>
    <row r="1229" spans="1:14">
      <c r="A1229" s="81">
        <v>46203</v>
      </c>
      <c r="B1229" s="82" t="s">
        <v>1297</v>
      </c>
      <c r="C1229" s="82" t="s">
        <v>40</v>
      </c>
      <c r="D1229" s="82" t="s">
        <v>27</v>
      </c>
      <c r="E1229" s="82" t="s">
        <v>30</v>
      </c>
      <c r="F1229" s="83">
        <v>3</v>
      </c>
      <c r="G1229" s="84">
        <v>721.03</v>
      </c>
      <c r="H1229" s="85">
        <v>0</v>
      </c>
      <c r="I1229" s="86">
        <f t="shared" si="38"/>
        <v>2163.09</v>
      </c>
      <c r="J1229" s="86">
        <v>1384.38</v>
      </c>
      <c r="K1229" s="86">
        <f t="shared" si="39"/>
        <v>778.71</v>
      </c>
      <c r="L1229" s="87" t="s">
        <v>63</v>
      </c>
      <c r="M1229" s="87" t="s">
        <v>64</v>
      </c>
      <c r="N1229" s="88" t="s">
        <v>69</v>
      </c>
    </row>
    <row r="1230" spans="1:14">
      <c r="A1230" s="81">
        <v>46204</v>
      </c>
      <c r="B1230" s="82" t="s">
        <v>1298</v>
      </c>
      <c r="C1230" s="82" t="s">
        <v>26</v>
      </c>
      <c r="D1230" s="82" t="s">
        <v>32</v>
      </c>
      <c r="E1230" s="82" t="s">
        <v>46</v>
      </c>
      <c r="F1230" s="83">
        <v>6</v>
      </c>
      <c r="G1230" s="84">
        <v>117.46</v>
      </c>
      <c r="H1230" s="85">
        <v>0.12</v>
      </c>
      <c r="I1230" s="86">
        <f t="shared" si="38"/>
        <v>620.18880000000001</v>
      </c>
      <c r="J1230" s="86">
        <v>338.28</v>
      </c>
      <c r="K1230" s="86">
        <f t="shared" si="39"/>
        <v>281.90880000000004</v>
      </c>
      <c r="L1230" s="87" t="s">
        <v>59</v>
      </c>
      <c r="M1230" s="87" t="s">
        <v>60</v>
      </c>
      <c r="N1230" s="88" t="s">
        <v>74</v>
      </c>
    </row>
    <row r="1231" spans="1:14">
      <c r="A1231" s="81">
        <v>46205</v>
      </c>
      <c r="B1231" s="82" t="s">
        <v>1299</v>
      </c>
      <c r="C1231" s="82" t="s">
        <v>26</v>
      </c>
      <c r="D1231" s="82" t="s">
        <v>27</v>
      </c>
      <c r="E1231" s="82" t="s">
        <v>25</v>
      </c>
      <c r="F1231" s="83">
        <v>8</v>
      </c>
      <c r="G1231" s="84">
        <v>1357.68</v>
      </c>
      <c r="H1231" s="85">
        <v>0.08</v>
      </c>
      <c r="I1231" s="86">
        <f t="shared" si="38"/>
        <v>9992.5248000000011</v>
      </c>
      <c r="J1231" s="86">
        <v>7385.78</v>
      </c>
      <c r="K1231" s="86">
        <f t="shared" si="39"/>
        <v>2606.7448000000013</v>
      </c>
      <c r="L1231" s="87" t="s">
        <v>59</v>
      </c>
      <c r="M1231" s="87" t="s">
        <v>68</v>
      </c>
      <c r="N1231" s="88" t="s">
        <v>69</v>
      </c>
    </row>
    <row r="1232" spans="1:14">
      <c r="A1232" s="81">
        <v>46206</v>
      </c>
      <c r="B1232" s="82" t="s">
        <v>1300</v>
      </c>
      <c r="C1232" s="82" t="s">
        <v>31</v>
      </c>
      <c r="D1232" s="82" t="s">
        <v>32</v>
      </c>
      <c r="E1232" s="82" t="s">
        <v>39</v>
      </c>
      <c r="F1232" s="83">
        <v>7</v>
      </c>
      <c r="G1232" s="84">
        <v>508.24</v>
      </c>
      <c r="H1232" s="85">
        <v>0.03</v>
      </c>
      <c r="I1232" s="86">
        <f t="shared" si="38"/>
        <v>3450.9496000000004</v>
      </c>
      <c r="J1232" s="86">
        <v>2027.88</v>
      </c>
      <c r="K1232" s="86">
        <f t="shared" si="39"/>
        <v>1423.0696000000003</v>
      </c>
      <c r="L1232" s="87" t="s">
        <v>59</v>
      </c>
      <c r="M1232" s="87" t="s">
        <v>64</v>
      </c>
      <c r="N1232" s="88" t="s">
        <v>69</v>
      </c>
    </row>
    <row r="1233" spans="1:14">
      <c r="A1233" s="81">
        <v>46207</v>
      </c>
      <c r="B1233" s="82" t="s">
        <v>1301</v>
      </c>
      <c r="C1233" s="82" t="s">
        <v>36</v>
      </c>
      <c r="D1233" s="82" t="s">
        <v>37</v>
      </c>
      <c r="E1233" s="82" t="s">
        <v>47</v>
      </c>
      <c r="F1233" s="83">
        <v>11</v>
      </c>
      <c r="G1233" s="84">
        <v>136.35</v>
      </c>
      <c r="H1233" s="85">
        <v>0.1</v>
      </c>
      <c r="I1233" s="86">
        <f t="shared" si="38"/>
        <v>1349.865</v>
      </c>
      <c r="J1233" s="86">
        <v>689.93</v>
      </c>
      <c r="K1233" s="86">
        <f t="shared" si="39"/>
        <v>659.93500000000006</v>
      </c>
      <c r="L1233" s="87" t="s">
        <v>59</v>
      </c>
      <c r="M1233" s="87" t="s">
        <v>68</v>
      </c>
      <c r="N1233" s="88" t="s">
        <v>65</v>
      </c>
    </row>
    <row r="1234" spans="1:14">
      <c r="A1234" s="81">
        <v>46207</v>
      </c>
      <c r="B1234" s="82" t="s">
        <v>1302</v>
      </c>
      <c r="C1234" s="82" t="s">
        <v>31</v>
      </c>
      <c r="D1234" s="82" t="s">
        <v>27</v>
      </c>
      <c r="E1234" s="82" t="s">
        <v>30</v>
      </c>
      <c r="F1234" s="83">
        <v>2</v>
      </c>
      <c r="G1234" s="84">
        <v>728.79</v>
      </c>
      <c r="H1234" s="85">
        <v>0.03</v>
      </c>
      <c r="I1234" s="86">
        <f t="shared" si="38"/>
        <v>1413.8525999999999</v>
      </c>
      <c r="J1234" s="86">
        <v>932.85</v>
      </c>
      <c r="K1234" s="86">
        <f t="shared" si="39"/>
        <v>481.00259999999992</v>
      </c>
      <c r="L1234" s="87" t="s">
        <v>59</v>
      </c>
      <c r="M1234" s="87" t="s">
        <v>68</v>
      </c>
      <c r="N1234" s="88" t="s">
        <v>69</v>
      </c>
    </row>
    <row r="1235" spans="1:14">
      <c r="A1235" s="81">
        <v>46209</v>
      </c>
      <c r="B1235" s="82" t="s">
        <v>1303</v>
      </c>
      <c r="C1235" s="82" t="s">
        <v>31</v>
      </c>
      <c r="D1235" s="82" t="s">
        <v>32</v>
      </c>
      <c r="E1235" s="82" t="s">
        <v>46</v>
      </c>
      <c r="F1235" s="83">
        <v>8</v>
      </c>
      <c r="G1235" s="84">
        <v>112.53</v>
      </c>
      <c r="H1235" s="85">
        <v>0.05</v>
      </c>
      <c r="I1235" s="86">
        <f t="shared" si="38"/>
        <v>855.22799999999995</v>
      </c>
      <c r="J1235" s="86">
        <v>432.12</v>
      </c>
      <c r="K1235" s="86">
        <f t="shared" si="39"/>
        <v>423.10799999999995</v>
      </c>
      <c r="L1235" s="87" t="s">
        <v>67</v>
      </c>
      <c r="M1235" s="87" t="s">
        <v>64</v>
      </c>
      <c r="N1235" s="88" t="s">
        <v>69</v>
      </c>
    </row>
    <row r="1236" spans="1:14">
      <c r="A1236" s="81">
        <v>46209</v>
      </c>
      <c r="B1236" s="82" t="s">
        <v>1304</v>
      </c>
      <c r="C1236" s="82" t="s">
        <v>31</v>
      </c>
      <c r="D1236" s="82" t="s">
        <v>32</v>
      </c>
      <c r="E1236" s="82" t="s">
        <v>39</v>
      </c>
      <c r="F1236" s="83">
        <v>5</v>
      </c>
      <c r="G1236" s="84">
        <v>530.05999999999995</v>
      </c>
      <c r="H1236" s="85">
        <v>0.05</v>
      </c>
      <c r="I1236" s="86">
        <f t="shared" si="38"/>
        <v>2517.7849999999994</v>
      </c>
      <c r="J1236" s="86">
        <v>1510.67</v>
      </c>
      <c r="K1236" s="86">
        <f t="shared" si="39"/>
        <v>1007.1149999999993</v>
      </c>
      <c r="L1236" s="87" t="s">
        <v>59</v>
      </c>
      <c r="M1236" s="87" t="s">
        <v>68</v>
      </c>
      <c r="N1236" s="88" t="s">
        <v>69</v>
      </c>
    </row>
    <row r="1237" spans="1:14">
      <c r="A1237" s="81">
        <v>46210</v>
      </c>
      <c r="B1237" s="82" t="s">
        <v>1305</v>
      </c>
      <c r="C1237" s="82" t="s">
        <v>36</v>
      </c>
      <c r="D1237" s="82" t="s">
        <v>37</v>
      </c>
      <c r="E1237" s="82" t="s">
        <v>48</v>
      </c>
      <c r="F1237" s="83">
        <v>2</v>
      </c>
      <c r="G1237" s="84">
        <v>83.95</v>
      </c>
      <c r="H1237" s="85">
        <v>0.12</v>
      </c>
      <c r="I1237" s="86">
        <f t="shared" si="38"/>
        <v>147.75200000000001</v>
      </c>
      <c r="J1237" s="86">
        <v>70.52</v>
      </c>
      <c r="K1237" s="86">
        <f t="shared" si="39"/>
        <v>77.232000000000014</v>
      </c>
      <c r="L1237" s="87" t="s">
        <v>67</v>
      </c>
      <c r="M1237" s="87" t="s">
        <v>60</v>
      </c>
      <c r="N1237" s="88" t="s">
        <v>69</v>
      </c>
    </row>
    <row r="1238" spans="1:14">
      <c r="A1238" s="81">
        <v>46211</v>
      </c>
      <c r="B1238" s="82" t="s">
        <v>1306</v>
      </c>
      <c r="C1238" s="82" t="s">
        <v>40</v>
      </c>
      <c r="D1238" s="82" t="s">
        <v>32</v>
      </c>
      <c r="E1238" s="82" t="s">
        <v>46</v>
      </c>
      <c r="F1238" s="83">
        <v>2</v>
      </c>
      <c r="G1238" s="84">
        <v>116.42</v>
      </c>
      <c r="H1238" s="85">
        <v>0.08</v>
      </c>
      <c r="I1238" s="86">
        <f t="shared" si="38"/>
        <v>214.21280000000002</v>
      </c>
      <c r="J1238" s="86">
        <v>111.76</v>
      </c>
      <c r="K1238" s="86">
        <f t="shared" si="39"/>
        <v>102.45280000000001</v>
      </c>
      <c r="L1238" s="87" t="s">
        <v>67</v>
      </c>
      <c r="M1238" s="87" t="s">
        <v>60</v>
      </c>
      <c r="N1238" s="88" t="s">
        <v>71</v>
      </c>
    </row>
    <row r="1239" spans="1:14">
      <c r="A1239" s="81">
        <v>46212</v>
      </c>
      <c r="B1239" s="82" t="s">
        <v>1307</v>
      </c>
      <c r="C1239" s="82" t="s">
        <v>26</v>
      </c>
      <c r="D1239" s="82" t="s">
        <v>32</v>
      </c>
      <c r="E1239" s="82" t="s">
        <v>46</v>
      </c>
      <c r="F1239" s="83">
        <v>7</v>
      </c>
      <c r="G1239" s="84">
        <v>109.7</v>
      </c>
      <c r="H1239" s="85">
        <v>0.1</v>
      </c>
      <c r="I1239" s="86">
        <f t="shared" si="38"/>
        <v>691.11</v>
      </c>
      <c r="J1239" s="86">
        <v>368.59</v>
      </c>
      <c r="K1239" s="86">
        <f t="shared" si="39"/>
        <v>322.52000000000004</v>
      </c>
      <c r="L1239" s="87" t="s">
        <v>59</v>
      </c>
      <c r="M1239" s="87" t="s">
        <v>60</v>
      </c>
      <c r="N1239" s="88" t="s">
        <v>65</v>
      </c>
    </row>
    <row r="1240" spans="1:14">
      <c r="A1240" s="81">
        <v>46213</v>
      </c>
      <c r="B1240" s="82" t="s">
        <v>1308</v>
      </c>
      <c r="C1240" s="82" t="s">
        <v>31</v>
      </c>
      <c r="D1240" s="82" t="s">
        <v>27</v>
      </c>
      <c r="E1240" s="82" t="s">
        <v>35</v>
      </c>
      <c r="F1240" s="83">
        <v>13</v>
      </c>
      <c r="G1240" s="84">
        <v>423.19</v>
      </c>
      <c r="H1240" s="85">
        <v>0.1</v>
      </c>
      <c r="I1240" s="86">
        <f t="shared" si="38"/>
        <v>4951.3230000000003</v>
      </c>
      <c r="J1240" s="86">
        <v>3300.88</v>
      </c>
      <c r="K1240" s="86">
        <f t="shared" si="39"/>
        <v>1650.4430000000002</v>
      </c>
      <c r="L1240" s="87" t="s">
        <v>67</v>
      </c>
      <c r="M1240" s="87" t="s">
        <v>68</v>
      </c>
      <c r="N1240" s="88" t="s">
        <v>78</v>
      </c>
    </row>
    <row r="1241" spans="1:14">
      <c r="A1241" s="81">
        <v>46213</v>
      </c>
      <c r="B1241" s="82" t="s">
        <v>1309</v>
      </c>
      <c r="C1241" s="82" t="s">
        <v>31</v>
      </c>
      <c r="D1241" s="82" t="s">
        <v>37</v>
      </c>
      <c r="E1241" s="82" t="s">
        <v>48</v>
      </c>
      <c r="F1241" s="83">
        <v>5</v>
      </c>
      <c r="G1241" s="84">
        <v>84.16</v>
      </c>
      <c r="H1241" s="85">
        <v>0.03</v>
      </c>
      <c r="I1241" s="86">
        <f t="shared" si="38"/>
        <v>408.17599999999993</v>
      </c>
      <c r="J1241" s="86">
        <v>176.74</v>
      </c>
      <c r="K1241" s="86">
        <f t="shared" si="39"/>
        <v>231.43599999999992</v>
      </c>
      <c r="L1241" s="87" t="s">
        <v>63</v>
      </c>
      <c r="M1241" s="87" t="s">
        <v>60</v>
      </c>
      <c r="N1241" s="88" t="s">
        <v>71</v>
      </c>
    </row>
    <row r="1242" spans="1:14">
      <c r="A1242" s="81">
        <v>46214</v>
      </c>
      <c r="B1242" s="82" t="s">
        <v>1310</v>
      </c>
      <c r="C1242" s="82" t="s">
        <v>40</v>
      </c>
      <c r="D1242" s="82" t="s">
        <v>37</v>
      </c>
      <c r="E1242" s="82" t="s">
        <v>47</v>
      </c>
      <c r="F1242" s="83">
        <v>12</v>
      </c>
      <c r="G1242" s="84">
        <v>140.84</v>
      </c>
      <c r="H1242" s="85">
        <v>0.1</v>
      </c>
      <c r="I1242" s="86">
        <f t="shared" si="38"/>
        <v>1521.0719999999999</v>
      </c>
      <c r="J1242" s="86">
        <v>777.44</v>
      </c>
      <c r="K1242" s="86">
        <f t="shared" si="39"/>
        <v>743.63199999999983</v>
      </c>
      <c r="L1242" s="87" t="s">
        <v>59</v>
      </c>
      <c r="M1242" s="87" t="s">
        <v>68</v>
      </c>
      <c r="N1242" s="88" t="s">
        <v>74</v>
      </c>
    </row>
    <row r="1243" spans="1:14">
      <c r="A1243" s="81">
        <v>46214</v>
      </c>
      <c r="B1243" s="82" t="s">
        <v>1311</v>
      </c>
      <c r="C1243" s="82" t="s">
        <v>40</v>
      </c>
      <c r="D1243" s="82" t="s">
        <v>27</v>
      </c>
      <c r="E1243" s="82" t="s">
        <v>35</v>
      </c>
      <c r="F1243" s="83">
        <v>2</v>
      </c>
      <c r="G1243" s="84">
        <v>438.38</v>
      </c>
      <c r="H1243" s="85">
        <v>0.03</v>
      </c>
      <c r="I1243" s="86">
        <f t="shared" si="38"/>
        <v>850.45719999999994</v>
      </c>
      <c r="J1243" s="86">
        <v>526.05999999999995</v>
      </c>
      <c r="K1243" s="86">
        <f t="shared" si="39"/>
        <v>324.3972</v>
      </c>
      <c r="L1243" s="87" t="s">
        <v>67</v>
      </c>
      <c r="M1243" s="87" t="s">
        <v>64</v>
      </c>
      <c r="N1243" s="88" t="s">
        <v>74</v>
      </c>
    </row>
    <row r="1244" spans="1:14">
      <c r="A1244" s="81">
        <v>46215</v>
      </c>
      <c r="B1244" s="82" t="s">
        <v>1312</v>
      </c>
      <c r="C1244" s="82" t="s">
        <v>31</v>
      </c>
      <c r="D1244" s="82" t="s">
        <v>27</v>
      </c>
      <c r="E1244" s="82" t="s">
        <v>35</v>
      </c>
      <c r="F1244" s="83">
        <v>9</v>
      </c>
      <c r="G1244" s="84">
        <v>412.02</v>
      </c>
      <c r="H1244" s="85">
        <v>0.12</v>
      </c>
      <c r="I1244" s="86">
        <f t="shared" si="38"/>
        <v>3263.1983999999998</v>
      </c>
      <c r="J1244" s="86">
        <v>2224.91</v>
      </c>
      <c r="K1244" s="86">
        <f t="shared" si="39"/>
        <v>1038.2883999999999</v>
      </c>
      <c r="L1244" s="87" t="s">
        <v>59</v>
      </c>
      <c r="M1244" s="87" t="s">
        <v>64</v>
      </c>
      <c r="N1244" s="88" t="s">
        <v>69</v>
      </c>
    </row>
    <row r="1245" spans="1:14">
      <c r="A1245" s="81">
        <v>46215</v>
      </c>
      <c r="B1245" s="82" t="s">
        <v>1313</v>
      </c>
      <c r="C1245" s="82" t="s">
        <v>36</v>
      </c>
      <c r="D1245" s="82" t="s">
        <v>27</v>
      </c>
      <c r="E1245" s="82" t="s">
        <v>35</v>
      </c>
      <c r="F1245" s="83">
        <v>5</v>
      </c>
      <c r="G1245" s="84">
        <v>434.75</v>
      </c>
      <c r="H1245" s="85">
        <v>0.08</v>
      </c>
      <c r="I1245" s="86">
        <f t="shared" si="38"/>
        <v>1999.8500000000001</v>
      </c>
      <c r="J1245" s="86">
        <v>1304.25</v>
      </c>
      <c r="K1245" s="86">
        <f t="shared" si="39"/>
        <v>695.60000000000014</v>
      </c>
      <c r="L1245" s="87" t="s">
        <v>67</v>
      </c>
      <c r="M1245" s="87" t="s">
        <v>68</v>
      </c>
      <c r="N1245" s="88" t="s">
        <v>78</v>
      </c>
    </row>
    <row r="1246" spans="1:14">
      <c r="A1246" s="81">
        <v>46215</v>
      </c>
      <c r="B1246" s="82" t="s">
        <v>1314</v>
      </c>
      <c r="C1246" s="82" t="s">
        <v>40</v>
      </c>
      <c r="D1246" s="82" t="s">
        <v>32</v>
      </c>
      <c r="E1246" s="82" t="s">
        <v>42</v>
      </c>
      <c r="F1246" s="83">
        <v>9</v>
      </c>
      <c r="G1246" s="84">
        <v>948.52</v>
      </c>
      <c r="H1246" s="85">
        <v>0.1</v>
      </c>
      <c r="I1246" s="86">
        <f t="shared" si="38"/>
        <v>7683.0120000000006</v>
      </c>
      <c r="J1246" s="86">
        <v>5207.37</v>
      </c>
      <c r="K1246" s="86">
        <f t="shared" si="39"/>
        <v>2475.6420000000007</v>
      </c>
      <c r="L1246" s="87" t="s">
        <v>63</v>
      </c>
      <c r="M1246" s="87" t="s">
        <v>60</v>
      </c>
      <c r="N1246" s="88" t="s">
        <v>78</v>
      </c>
    </row>
    <row r="1247" spans="1:14">
      <c r="A1247" s="81">
        <v>46217</v>
      </c>
      <c r="B1247" s="82" t="s">
        <v>1315</v>
      </c>
      <c r="C1247" s="82" t="s">
        <v>26</v>
      </c>
      <c r="D1247" s="82" t="s">
        <v>27</v>
      </c>
      <c r="E1247" s="82" t="s">
        <v>35</v>
      </c>
      <c r="F1247" s="83">
        <v>4</v>
      </c>
      <c r="G1247" s="84">
        <v>413.81</v>
      </c>
      <c r="H1247" s="85">
        <v>0.08</v>
      </c>
      <c r="I1247" s="86">
        <f t="shared" si="38"/>
        <v>1522.8208</v>
      </c>
      <c r="J1247" s="86">
        <v>993.14</v>
      </c>
      <c r="K1247" s="86">
        <f t="shared" si="39"/>
        <v>529.68079999999998</v>
      </c>
      <c r="L1247" s="87" t="s">
        <v>63</v>
      </c>
      <c r="M1247" s="87" t="s">
        <v>64</v>
      </c>
      <c r="N1247" s="88" t="s">
        <v>69</v>
      </c>
    </row>
    <row r="1248" spans="1:14">
      <c r="A1248" s="81">
        <v>46217</v>
      </c>
      <c r="B1248" s="82" t="s">
        <v>1316</v>
      </c>
      <c r="C1248" s="82" t="s">
        <v>26</v>
      </c>
      <c r="D1248" s="82" t="s">
        <v>32</v>
      </c>
      <c r="E1248" s="82" t="s">
        <v>42</v>
      </c>
      <c r="F1248" s="83">
        <v>3</v>
      </c>
      <c r="G1248" s="84">
        <v>947.05</v>
      </c>
      <c r="H1248" s="85">
        <v>0.12</v>
      </c>
      <c r="I1248" s="86">
        <f t="shared" si="38"/>
        <v>2500.2119999999995</v>
      </c>
      <c r="J1248" s="86">
        <v>1733.1</v>
      </c>
      <c r="K1248" s="86">
        <f t="shared" si="39"/>
        <v>767.11199999999963</v>
      </c>
      <c r="L1248" s="87" t="s">
        <v>63</v>
      </c>
      <c r="M1248" s="87" t="s">
        <v>64</v>
      </c>
      <c r="N1248" s="88" t="s">
        <v>69</v>
      </c>
    </row>
    <row r="1249" spans="1:14">
      <c r="A1249" s="81">
        <v>46219</v>
      </c>
      <c r="B1249" s="82" t="s">
        <v>1317</v>
      </c>
      <c r="C1249" s="82" t="s">
        <v>36</v>
      </c>
      <c r="D1249" s="82" t="s">
        <v>32</v>
      </c>
      <c r="E1249" s="82" t="s">
        <v>42</v>
      </c>
      <c r="F1249" s="83">
        <v>2</v>
      </c>
      <c r="G1249" s="84">
        <v>940.69</v>
      </c>
      <c r="H1249" s="85">
        <v>0.12</v>
      </c>
      <c r="I1249" s="86">
        <f t="shared" si="38"/>
        <v>1655.6144000000002</v>
      </c>
      <c r="J1249" s="86">
        <v>1147.6400000000001</v>
      </c>
      <c r="K1249" s="86">
        <f t="shared" si="39"/>
        <v>507.97440000000006</v>
      </c>
      <c r="L1249" s="87" t="s">
        <v>67</v>
      </c>
      <c r="M1249" s="87" t="s">
        <v>64</v>
      </c>
      <c r="N1249" s="88" t="s">
        <v>71</v>
      </c>
    </row>
    <row r="1250" spans="1:14">
      <c r="A1250" s="81">
        <v>46219</v>
      </c>
      <c r="B1250" s="82" t="s">
        <v>1318</v>
      </c>
      <c r="C1250" s="82" t="s">
        <v>31</v>
      </c>
      <c r="D1250" s="82" t="s">
        <v>27</v>
      </c>
      <c r="E1250" s="82" t="s">
        <v>35</v>
      </c>
      <c r="F1250" s="83">
        <v>2</v>
      </c>
      <c r="G1250" s="84">
        <v>448.04</v>
      </c>
      <c r="H1250" s="85">
        <v>0.05</v>
      </c>
      <c r="I1250" s="86">
        <f t="shared" si="38"/>
        <v>851.27599999999995</v>
      </c>
      <c r="J1250" s="86">
        <v>537.65</v>
      </c>
      <c r="K1250" s="86">
        <f t="shared" si="39"/>
        <v>313.62599999999998</v>
      </c>
      <c r="L1250" s="87" t="s">
        <v>67</v>
      </c>
      <c r="M1250" s="87" t="s">
        <v>60</v>
      </c>
      <c r="N1250" s="88" t="s">
        <v>69</v>
      </c>
    </row>
    <row r="1251" spans="1:14">
      <c r="A1251" s="81">
        <v>46219</v>
      </c>
      <c r="B1251" s="82" t="s">
        <v>1319</v>
      </c>
      <c r="C1251" s="82" t="s">
        <v>26</v>
      </c>
      <c r="D1251" s="82" t="s">
        <v>27</v>
      </c>
      <c r="E1251" s="82" t="s">
        <v>35</v>
      </c>
      <c r="F1251" s="83">
        <v>9</v>
      </c>
      <c r="G1251" s="84">
        <v>416.08</v>
      </c>
      <c r="H1251" s="85">
        <v>0.1</v>
      </c>
      <c r="I1251" s="86">
        <f t="shared" si="38"/>
        <v>3370.248</v>
      </c>
      <c r="J1251" s="86">
        <v>2246.83</v>
      </c>
      <c r="K1251" s="86">
        <f t="shared" si="39"/>
        <v>1123.4180000000001</v>
      </c>
      <c r="L1251" s="87" t="s">
        <v>67</v>
      </c>
      <c r="M1251" s="87" t="s">
        <v>60</v>
      </c>
      <c r="N1251" s="88" t="s">
        <v>78</v>
      </c>
    </row>
    <row r="1252" spans="1:14">
      <c r="A1252" s="81">
        <v>46219</v>
      </c>
      <c r="B1252" s="82" t="s">
        <v>1320</v>
      </c>
      <c r="C1252" s="82" t="s">
        <v>40</v>
      </c>
      <c r="D1252" s="82" t="s">
        <v>32</v>
      </c>
      <c r="E1252" s="82" t="s">
        <v>46</v>
      </c>
      <c r="F1252" s="83">
        <v>9</v>
      </c>
      <c r="G1252" s="84">
        <v>117.45</v>
      </c>
      <c r="H1252" s="85">
        <v>0.1</v>
      </c>
      <c r="I1252" s="86">
        <f t="shared" si="38"/>
        <v>951.34500000000003</v>
      </c>
      <c r="J1252" s="86">
        <v>507.38</v>
      </c>
      <c r="K1252" s="86">
        <f t="shared" si="39"/>
        <v>443.96500000000003</v>
      </c>
      <c r="L1252" s="87" t="s">
        <v>67</v>
      </c>
      <c r="M1252" s="87" t="s">
        <v>64</v>
      </c>
      <c r="N1252" s="88" t="s">
        <v>74</v>
      </c>
    </row>
    <row r="1253" spans="1:14">
      <c r="A1253" s="81">
        <v>46219</v>
      </c>
      <c r="B1253" s="82" t="s">
        <v>1321</v>
      </c>
      <c r="C1253" s="82" t="s">
        <v>40</v>
      </c>
      <c r="D1253" s="82" t="s">
        <v>27</v>
      </c>
      <c r="E1253" s="82" t="s">
        <v>30</v>
      </c>
      <c r="F1253" s="83">
        <v>5</v>
      </c>
      <c r="G1253" s="84">
        <v>761.32</v>
      </c>
      <c r="H1253" s="85">
        <v>0</v>
      </c>
      <c r="I1253" s="86">
        <f t="shared" si="38"/>
        <v>3806.6000000000004</v>
      </c>
      <c r="J1253" s="86">
        <v>2436.2199999999998</v>
      </c>
      <c r="K1253" s="86">
        <f t="shared" si="39"/>
        <v>1370.3800000000006</v>
      </c>
      <c r="L1253" s="87" t="s">
        <v>67</v>
      </c>
      <c r="M1253" s="87" t="s">
        <v>60</v>
      </c>
      <c r="N1253" s="88" t="s">
        <v>74</v>
      </c>
    </row>
    <row r="1254" spans="1:14">
      <c r="A1254" s="81">
        <v>46223</v>
      </c>
      <c r="B1254" s="82" t="s">
        <v>1322</v>
      </c>
      <c r="C1254" s="82" t="s">
        <v>31</v>
      </c>
      <c r="D1254" s="82" t="s">
        <v>32</v>
      </c>
      <c r="E1254" s="82" t="s">
        <v>46</v>
      </c>
      <c r="F1254" s="83">
        <v>2</v>
      </c>
      <c r="G1254" s="84">
        <v>118.46</v>
      </c>
      <c r="H1254" s="85">
        <v>0.1</v>
      </c>
      <c r="I1254" s="86">
        <f t="shared" si="38"/>
        <v>213.22799999999998</v>
      </c>
      <c r="J1254" s="86">
        <v>113.72</v>
      </c>
      <c r="K1254" s="86">
        <f t="shared" si="39"/>
        <v>99.507999999999981</v>
      </c>
      <c r="L1254" s="87" t="s">
        <v>67</v>
      </c>
      <c r="M1254" s="87" t="s">
        <v>64</v>
      </c>
      <c r="N1254" s="88" t="s">
        <v>61</v>
      </c>
    </row>
    <row r="1255" spans="1:14">
      <c r="A1255" s="81">
        <v>46227</v>
      </c>
      <c r="B1255" s="82" t="s">
        <v>1323</v>
      </c>
      <c r="C1255" s="82" t="s">
        <v>40</v>
      </c>
      <c r="D1255" s="82" t="s">
        <v>32</v>
      </c>
      <c r="E1255" s="82" t="s">
        <v>42</v>
      </c>
      <c r="F1255" s="83">
        <v>5</v>
      </c>
      <c r="G1255" s="84">
        <v>911.22</v>
      </c>
      <c r="H1255" s="85">
        <v>0.12</v>
      </c>
      <c r="I1255" s="86">
        <f t="shared" si="38"/>
        <v>4009.3680000000004</v>
      </c>
      <c r="J1255" s="86">
        <v>2779.22</v>
      </c>
      <c r="K1255" s="86">
        <f t="shared" si="39"/>
        <v>1230.1480000000006</v>
      </c>
      <c r="L1255" s="87" t="s">
        <v>67</v>
      </c>
      <c r="M1255" s="87" t="s">
        <v>60</v>
      </c>
      <c r="N1255" s="88" t="s">
        <v>71</v>
      </c>
    </row>
    <row r="1256" spans="1:14">
      <c r="A1256" s="81">
        <v>46227</v>
      </c>
      <c r="B1256" s="82" t="s">
        <v>1324</v>
      </c>
      <c r="C1256" s="82" t="s">
        <v>31</v>
      </c>
      <c r="D1256" s="82" t="s">
        <v>27</v>
      </c>
      <c r="E1256" s="82" t="s">
        <v>35</v>
      </c>
      <c r="F1256" s="83">
        <v>5</v>
      </c>
      <c r="G1256" s="84">
        <v>435.46</v>
      </c>
      <c r="H1256" s="85">
        <v>0.03</v>
      </c>
      <c r="I1256" s="86">
        <f t="shared" si="38"/>
        <v>2111.9809999999998</v>
      </c>
      <c r="J1256" s="86">
        <v>1306.3800000000001</v>
      </c>
      <c r="K1256" s="86">
        <f t="shared" si="39"/>
        <v>805.60099999999966</v>
      </c>
      <c r="L1256" s="87" t="s">
        <v>67</v>
      </c>
      <c r="M1256" s="87" t="s">
        <v>68</v>
      </c>
      <c r="N1256" s="88" t="s">
        <v>65</v>
      </c>
    </row>
    <row r="1257" spans="1:14">
      <c r="A1257" s="81">
        <v>46228</v>
      </c>
      <c r="B1257" s="82" t="s">
        <v>1325</v>
      </c>
      <c r="C1257" s="82" t="s">
        <v>31</v>
      </c>
      <c r="D1257" s="82" t="s">
        <v>32</v>
      </c>
      <c r="E1257" s="82" t="s">
        <v>46</v>
      </c>
      <c r="F1257" s="83">
        <v>2</v>
      </c>
      <c r="G1257" s="84">
        <v>111.07</v>
      </c>
      <c r="H1257" s="85">
        <v>0.08</v>
      </c>
      <c r="I1257" s="86">
        <f t="shared" si="38"/>
        <v>204.36879999999999</v>
      </c>
      <c r="J1257" s="86">
        <v>106.63</v>
      </c>
      <c r="K1257" s="86">
        <f t="shared" si="39"/>
        <v>97.738799999999998</v>
      </c>
      <c r="L1257" s="87" t="s">
        <v>59</v>
      </c>
      <c r="M1257" s="87" t="s">
        <v>60</v>
      </c>
      <c r="N1257" s="88" t="s">
        <v>65</v>
      </c>
    </row>
    <row r="1258" spans="1:14">
      <c r="A1258" s="81">
        <v>46228</v>
      </c>
      <c r="B1258" s="82" t="s">
        <v>1326</v>
      </c>
      <c r="C1258" s="82" t="s">
        <v>26</v>
      </c>
      <c r="D1258" s="82" t="s">
        <v>32</v>
      </c>
      <c r="E1258" s="82" t="s">
        <v>39</v>
      </c>
      <c r="F1258" s="83">
        <v>7</v>
      </c>
      <c r="G1258" s="84">
        <v>518.14</v>
      </c>
      <c r="H1258" s="85">
        <v>0.12</v>
      </c>
      <c r="I1258" s="86">
        <f t="shared" si="38"/>
        <v>3191.7424000000001</v>
      </c>
      <c r="J1258" s="86">
        <v>2067.38</v>
      </c>
      <c r="K1258" s="86">
        <f t="shared" si="39"/>
        <v>1124.3624</v>
      </c>
      <c r="L1258" s="87" t="s">
        <v>67</v>
      </c>
      <c r="M1258" s="87" t="s">
        <v>64</v>
      </c>
      <c r="N1258" s="88" t="s">
        <v>61</v>
      </c>
    </row>
    <row r="1259" spans="1:14">
      <c r="A1259" s="81">
        <v>46229</v>
      </c>
      <c r="B1259" s="82" t="s">
        <v>1327</v>
      </c>
      <c r="C1259" s="82" t="s">
        <v>31</v>
      </c>
      <c r="D1259" s="82" t="s">
        <v>27</v>
      </c>
      <c r="E1259" s="82" t="s">
        <v>25</v>
      </c>
      <c r="F1259" s="83">
        <v>1</v>
      </c>
      <c r="G1259" s="84">
        <v>1364.5</v>
      </c>
      <c r="H1259" s="85">
        <v>0.12</v>
      </c>
      <c r="I1259" s="86">
        <f t="shared" si="38"/>
        <v>1200.76</v>
      </c>
      <c r="J1259" s="86">
        <v>927.86</v>
      </c>
      <c r="K1259" s="86">
        <f t="shared" si="39"/>
        <v>272.89999999999998</v>
      </c>
      <c r="L1259" s="87" t="s">
        <v>67</v>
      </c>
      <c r="M1259" s="87" t="s">
        <v>60</v>
      </c>
      <c r="N1259" s="88" t="s">
        <v>78</v>
      </c>
    </row>
    <row r="1260" spans="1:14">
      <c r="A1260" s="81">
        <v>46229</v>
      </c>
      <c r="B1260" s="82" t="s">
        <v>1328</v>
      </c>
      <c r="C1260" s="82" t="s">
        <v>26</v>
      </c>
      <c r="D1260" s="82" t="s">
        <v>27</v>
      </c>
      <c r="E1260" s="82" t="s">
        <v>35</v>
      </c>
      <c r="F1260" s="83">
        <v>7</v>
      </c>
      <c r="G1260" s="84">
        <v>421.14</v>
      </c>
      <c r="H1260" s="85">
        <v>0</v>
      </c>
      <c r="I1260" s="86">
        <f t="shared" si="38"/>
        <v>2947.98</v>
      </c>
      <c r="J1260" s="86">
        <v>1768.79</v>
      </c>
      <c r="K1260" s="86">
        <f t="shared" si="39"/>
        <v>1179.19</v>
      </c>
      <c r="L1260" s="87" t="s">
        <v>67</v>
      </c>
      <c r="M1260" s="87" t="s">
        <v>60</v>
      </c>
      <c r="N1260" s="88" t="s">
        <v>69</v>
      </c>
    </row>
    <row r="1261" spans="1:14">
      <c r="A1261" s="81">
        <v>46230</v>
      </c>
      <c r="B1261" s="82" t="s">
        <v>1329</v>
      </c>
      <c r="C1261" s="82" t="s">
        <v>31</v>
      </c>
      <c r="D1261" s="82" t="s">
        <v>27</v>
      </c>
      <c r="E1261" s="82" t="s">
        <v>25</v>
      </c>
      <c r="F1261" s="83">
        <v>6</v>
      </c>
      <c r="G1261" s="84">
        <v>1409.29</v>
      </c>
      <c r="H1261" s="85">
        <v>0.1</v>
      </c>
      <c r="I1261" s="86">
        <f t="shared" si="38"/>
        <v>7610.1660000000002</v>
      </c>
      <c r="J1261" s="86">
        <v>5749.9</v>
      </c>
      <c r="K1261" s="86">
        <f t="shared" si="39"/>
        <v>1860.2660000000005</v>
      </c>
      <c r="L1261" s="87" t="s">
        <v>59</v>
      </c>
      <c r="M1261" s="87" t="s">
        <v>60</v>
      </c>
      <c r="N1261" s="88" t="s">
        <v>61</v>
      </c>
    </row>
    <row r="1262" spans="1:14">
      <c r="A1262" s="81">
        <v>46231</v>
      </c>
      <c r="B1262" s="82" t="s">
        <v>1330</v>
      </c>
      <c r="C1262" s="82" t="s">
        <v>26</v>
      </c>
      <c r="D1262" s="82" t="s">
        <v>32</v>
      </c>
      <c r="E1262" s="82" t="s">
        <v>39</v>
      </c>
      <c r="F1262" s="83">
        <v>7</v>
      </c>
      <c r="G1262" s="84">
        <v>525.79999999999995</v>
      </c>
      <c r="H1262" s="85">
        <v>0.1</v>
      </c>
      <c r="I1262" s="86">
        <f t="shared" si="38"/>
        <v>3312.5399999999995</v>
      </c>
      <c r="J1262" s="86">
        <v>2097.94</v>
      </c>
      <c r="K1262" s="86">
        <f t="shared" si="39"/>
        <v>1214.5999999999995</v>
      </c>
      <c r="L1262" s="87" t="s">
        <v>63</v>
      </c>
      <c r="M1262" s="87" t="s">
        <v>60</v>
      </c>
      <c r="N1262" s="88" t="s">
        <v>74</v>
      </c>
    </row>
    <row r="1263" spans="1:14">
      <c r="A1263" s="81">
        <v>46231</v>
      </c>
      <c r="B1263" s="82" t="s">
        <v>1331</v>
      </c>
      <c r="C1263" s="82" t="s">
        <v>40</v>
      </c>
      <c r="D1263" s="82" t="s">
        <v>32</v>
      </c>
      <c r="E1263" s="82" t="s">
        <v>39</v>
      </c>
      <c r="F1263" s="83">
        <v>1</v>
      </c>
      <c r="G1263" s="84">
        <v>495.58</v>
      </c>
      <c r="H1263" s="85">
        <v>0.08</v>
      </c>
      <c r="I1263" s="86">
        <f t="shared" si="38"/>
        <v>455.93360000000001</v>
      </c>
      <c r="J1263" s="86">
        <v>282.48</v>
      </c>
      <c r="K1263" s="86">
        <f t="shared" si="39"/>
        <v>173.45359999999999</v>
      </c>
      <c r="L1263" s="87" t="s">
        <v>67</v>
      </c>
      <c r="M1263" s="87" t="s">
        <v>60</v>
      </c>
      <c r="N1263" s="88" t="s">
        <v>74</v>
      </c>
    </row>
    <row r="1264" spans="1:14">
      <c r="A1264" s="81">
        <v>46232</v>
      </c>
      <c r="B1264" s="82" t="s">
        <v>1332</v>
      </c>
      <c r="C1264" s="82" t="s">
        <v>26</v>
      </c>
      <c r="D1264" s="82" t="s">
        <v>27</v>
      </c>
      <c r="E1264" s="82" t="s">
        <v>35</v>
      </c>
      <c r="F1264" s="83">
        <v>4</v>
      </c>
      <c r="G1264" s="84">
        <v>414.87</v>
      </c>
      <c r="H1264" s="85">
        <v>0.03</v>
      </c>
      <c r="I1264" s="86">
        <f t="shared" si="38"/>
        <v>1609.6956</v>
      </c>
      <c r="J1264" s="86">
        <v>995.69</v>
      </c>
      <c r="K1264" s="86">
        <f t="shared" si="39"/>
        <v>614.00559999999996</v>
      </c>
      <c r="L1264" s="87" t="s">
        <v>63</v>
      </c>
      <c r="M1264" s="87" t="s">
        <v>60</v>
      </c>
      <c r="N1264" s="88" t="s">
        <v>61</v>
      </c>
    </row>
    <row r="1265" spans="1:14">
      <c r="A1265" s="81">
        <v>46232</v>
      </c>
      <c r="B1265" s="82" t="s">
        <v>1333</v>
      </c>
      <c r="C1265" s="82" t="s">
        <v>26</v>
      </c>
      <c r="D1265" s="82" t="s">
        <v>32</v>
      </c>
      <c r="E1265" s="82" t="s">
        <v>42</v>
      </c>
      <c r="F1265" s="83">
        <v>5</v>
      </c>
      <c r="G1265" s="84">
        <v>872.19</v>
      </c>
      <c r="H1265" s="85">
        <v>0.05</v>
      </c>
      <c r="I1265" s="86">
        <f t="shared" si="38"/>
        <v>4142.9025000000001</v>
      </c>
      <c r="J1265" s="86">
        <v>2660.18</v>
      </c>
      <c r="K1265" s="86">
        <f t="shared" si="39"/>
        <v>1482.7225000000003</v>
      </c>
      <c r="L1265" s="87" t="s">
        <v>63</v>
      </c>
      <c r="M1265" s="87" t="s">
        <v>60</v>
      </c>
      <c r="N1265" s="88" t="s">
        <v>61</v>
      </c>
    </row>
    <row r="1266" spans="1:14">
      <c r="A1266" s="81">
        <v>46232</v>
      </c>
      <c r="B1266" s="82" t="s">
        <v>1334</v>
      </c>
      <c r="C1266" s="82" t="s">
        <v>36</v>
      </c>
      <c r="D1266" s="82" t="s">
        <v>27</v>
      </c>
      <c r="E1266" s="82" t="s">
        <v>35</v>
      </c>
      <c r="F1266" s="83">
        <v>1</v>
      </c>
      <c r="G1266" s="84">
        <v>448.49</v>
      </c>
      <c r="H1266" s="85">
        <v>0</v>
      </c>
      <c r="I1266" s="86">
        <f t="shared" si="38"/>
        <v>448.49</v>
      </c>
      <c r="J1266" s="86">
        <v>269.08999999999997</v>
      </c>
      <c r="K1266" s="86">
        <f t="shared" si="39"/>
        <v>179.40000000000003</v>
      </c>
      <c r="L1266" s="87" t="s">
        <v>67</v>
      </c>
      <c r="M1266" s="87" t="s">
        <v>60</v>
      </c>
      <c r="N1266" s="88" t="s">
        <v>74</v>
      </c>
    </row>
    <row r="1267" spans="1:14">
      <c r="A1267" s="81">
        <v>46233</v>
      </c>
      <c r="B1267" s="82" t="s">
        <v>1335</v>
      </c>
      <c r="C1267" s="82" t="s">
        <v>31</v>
      </c>
      <c r="D1267" s="82" t="s">
        <v>37</v>
      </c>
      <c r="E1267" s="82" t="s">
        <v>48</v>
      </c>
      <c r="F1267" s="83">
        <v>10</v>
      </c>
      <c r="G1267" s="84">
        <v>80.7</v>
      </c>
      <c r="H1267" s="85">
        <v>0.03</v>
      </c>
      <c r="I1267" s="86">
        <f t="shared" si="38"/>
        <v>782.79</v>
      </c>
      <c r="J1267" s="86">
        <v>338.94</v>
      </c>
      <c r="K1267" s="86">
        <f t="shared" si="39"/>
        <v>443.84999999999997</v>
      </c>
      <c r="L1267" s="87" t="s">
        <v>59</v>
      </c>
      <c r="M1267" s="87" t="s">
        <v>68</v>
      </c>
      <c r="N1267" s="88" t="s">
        <v>69</v>
      </c>
    </row>
    <row r="1268" spans="1:14">
      <c r="A1268" s="81">
        <v>46234</v>
      </c>
      <c r="B1268" s="82" t="s">
        <v>1336</v>
      </c>
      <c r="C1268" s="82" t="s">
        <v>40</v>
      </c>
      <c r="D1268" s="82" t="s">
        <v>32</v>
      </c>
      <c r="E1268" s="82" t="s">
        <v>39</v>
      </c>
      <c r="F1268" s="83">
        <v>4</v>
      </c>
      <c r="G1268" s="84">
        <v>508.33</v>
      </c>
      <c r="H1268" s="85">
        <v>0.03</v>
      </c>
      <c r="I1268" s="86">
        <f t="shared" si="38"/>
        <v>1972.3203999999998</v>
      </c>
      <c r="J1268" s="86">
        <v>1158.99</v>
      </c>
      <c r="K1268" s="86">
        <f t="shared" si="39"/>
        <v>813.33039999999983</v>
      </c>
      <c r="L1268" s="87" t="s">
        <v>59</v>
      </c>
      <c r="M1268" s="87" t="s">
        <v>64</v>
      </c>
      <c r="N1268" s="88" t="s">
        <v>74</v>
      </c>
    </row>
    <row r="1269" spans="1:14">
      <c r="A1269" s="81">
        <v>46234</v>
      </c>
      <c r="B1269" s="82" t="s">
        <v>1337</v>
      </c>
      <c r="C1269" s="82" t="s">
        <v>26</v>
      </c>
      <c r="D1269" s="82" t="s">
        <v>27</v>
      </c>
      <c r="E1269" s="82" t="s">
        <v>30</v>
      </c>
      <c r="F1269" s="83">
        <v>3</v>
      </c>
      <c r="G1269" s="84">
        <v>716.5</v>
      </c>
      <c r="H1269" s="85">
        <v>0.12</v>
      </c>
      <c r="I1269" s="86">
        <f t="shared" si="38"/>
        <v>1891.56</v>
      </c>
      <c r="J1269" s="86">
        <v>1375.68</v>
      </c>
      <c r="K1269" s="86">
        <f t="shared" si="39"/>
        <v>515.87999999999988</v>
      </c>
      <c r="L1269" s="87" t="s">
        <v>59</v>
      </c>
      <c r="M1269" s="87" t="s">
        <v>60</v>
      </c>
      <c r="N1269" s="88" t="s">
        <v>65</v>
      </c>
    </row>
    <row r="1270" spans="1:14">
      <c r="A1270" s="81">
        <v>46236</v>
      </c>
      <c r="B1270" s="82" t="s">
        <v>1338</v>
      </c>
      <c r="C1270" s="82" t="s">
        <v>40</v>
      </c>
      <c r="D1270" s="82" t="s">
        <v>37</v>
      </c>
      <c r="E1270" s="82" t="s">
        <v>47</v>
      </c>
      <c r="F1270" s="83">
        <v>4</v>
      </c>
      <c r="G1270" s="84">
        <v>136.41</v>
      </c>
      <c r="H1270" s="85">
        <v>0.05</v>
      </c>
      <c r="I1270" s="86">
        <f t="shared" si="38"/>
        <v>518.35799999999995</v>
      </c>
      <c r="J1270" s="86">
        <v>250.99</v>
      </c>
      <c r="K1270" s="86">
        <f t="shared" si="39"/>
        <v>267.36799999999994</v>
      </c>
      <c r="L1270" s="87" t="s">
        <v>67</v>
      </c>
      <c r="M1270" s="87" t="s">
        <v>64</v>
      </c>
      <c r="N1270" s="88" t="s">
        <v>74</v>
      </c>
    </row>
    <row r="1271" spans="1:14">
      <c r="A1271" s="81">
        <v>46238</v>
      </c>
      <c r="B1271" s="82" t="s">
        <v>1339</v>
      </c>
      <c r="C1271" s="82" t="s">
        <v>31</v>
      </c>
      <c r="D1271" s="82" t="s">
        <v>32</v>
      </c>
      <c r="E1271" s="82" t="s">
        <v>39</v>
      </c>
      <c r="F1271" s="83">
        <v>12</v>
      </c>
      <c r="G1271" s="84">
        <v>520.78</v>
      </c>
      <c r="H1271" s="85">
        <v>0.08</v>
      </c>
      <c r="I1271" s="86">
        <f t="shared" si="38"/>
        <v>5749.4111999999996</v>
      </c>
      <c r="J1271" s="86">
        <v>3562.14</v>
      </c>
      <c r="K1271" s="86">
        <f t="shared" si="39"/>
        <v>2187.2711999999997</v>
      </c>
      <c r="L1271" s="87" t="s">
        <v>59</v>
      </c>
      <c r="M1271" s="87" t="s">
        <v>68</v>
      </c>
      <c r="N1271" s="88" t="s">
        <v>74</v>
      </c>
    </row>
    <row r="1272" spans="1:14">
      <c r="A1272" s="81">
        <v>46240</v>
      </c>
      <c r="B1272" s="82" t="s">
        <v>1340</v>
      </c>
      <c r="C1272" s="82" t="s">
        <v>31</v>
      </c>
      <c r="D1272" s="82" t="s">
        <v>27</v>
      </c>
      <c r="E1272" s="82" t="s">
        <v>25</v>
      </c>
      <c r="F1272" s="83">
        <v>5</v>
      </c>
      <c r="G1272" s="84">
        <v>1413.01</v>
      </c>
      <c r="H1272" s="85">
        <v>0.08</v>
      </c>
      <c r="I1272" s="86">
        <f t="shared" si="38"/>
        <v>6499.8460000000005</v>
      </c>
      <c r="J1272" s="86">
        <v>4804.2299999999996</v>
      </c>
      <c r="K1272" s="86">
        <f t="shared" si="39"/>
        <v>1695.6160000000009</v>
      </c>
      <c r="L1272" s="87" t="s">
        <v>63</v>
      </c>
      <c r="M1272" s="87" t="s">
        <v>68</v>
      </c>
      <c r="N1272" s="88" t="s">
        <v>61</v>
      </c>
    </row>
    <row r="1273" spans="1:14">
      <c r="A1273" s="81">
        <v>46241</v>
      </c>
      <c r="B1273" s="82" t="s">
        <v>1341</v>
      </c>
      <c r="C1273" s="82" t="s">
        <v>26</v>
      </c>
      <c r="D1273" s="82" t="s">
        <v>27</v>
      </c>
      <c r="E1273" s="82" t="s">
        <v>30</v>
      </c>
      <c r="F1273" s="83">
        <v>3</v>
      </c>
      <c r="G1273" s="84">
        <v>733.1</v>
      </c>
      <c r="H1273" s="85">
        <v>0.12</v>
      </c>
      <c r="I1273" s="86">
        <f t="shared" si="38"/>
        <v>1935.3840000000002</v>
      </c>
      <c r="J1273" s="86">
        <v>1407.55</v>
      </c>
      <c r="K1273" s="86">
        <f t="shared" si="39"/>
        <v>527.83400000000029</v>
      </c>
      <c r="L1273" s="87" t="s">
        <v>59</v>
      </c>
      <c r="M1273" s="87" t="s">
        <v>64</v>
      </c>
      <c r="N1273" s="88" t="s">
        <v>69</v>
      </c>
    </row>
    <row r="1274" spans="1:14">
      <c r="A1274" s="81">
        <v>46242</v>
      </c>
      <c r="B1274" s="82" t="s">
        <v>1342</v>
      </c>
      <c r="C1274" s="82" t="s">
        <v>36</v>
      </c>
      <c r="D1274" s="82" t="s">
        <v>27</v>
      </c>
      <c r="E1274" s="82" t="s">
        <v>35</v>
      </c>
      <c r="F1274" s="83">
        <v>3</v>
      </c>
      <c r="G1274" s="84">
        <v>417.43</v>
      </c>
      <c r="H1274" s="85">
        <v>0</v>
      </c>
      <c r="I1274" s="86">
        <f t="shared" si="38"/>
        <v>1252.29</v>
      </c>
      <c r="J1274" s="86">
        <v>751.37</v>
      </c>
      <c r="K1274" s="86">
        <f t="shared" si="39"/>
        <v>500.91999999999996</v>
      </c>
      <c r="L1274" s="87" t="s">
        <v>59</v>
      </c>
      <c r="M1274" s="87" t="s">
        <v>60</v>
      </c>
      <c r="N1274" s="88" t="s">
        <v>65</v>
      </c>
    </row>
    <row r="1275" spans="1:14">
      <c r="A1275" s="81">
        <v>46242</v>
      </c>
      <c r="B1275" s="82" t="s">
        <v>1343</v>
      </c>
      <c r="C1275" s="82" t="s">
        <v>31</v>
      </c>
      <c r="D1275" s="82" t="s">
        <v>27</v>
      </c>
      <c r="E1275" s="82" t="s">
        <v>30</v>
      </c>
      <c r="F1275" s="83">
        <v>3</v>
      </c>
      <c r="G1275" s="84">
        <v>722.77</v>
      </c>
      <c r="H1275" s="85">
        <v>0.1</v>
      </c>
      <c r="I1275" s="86">
        <f t="shared" si="38"/>
        <v>1951.479</v>
      </c>
      <c r="J1275" s="86">
        <v>1387.72</v>
      </c>
      <c r="K1275" s="86">
        <f t="shared" si="39"/>
        <v>563.75900000000001</v>
      </c>
      <c r="L1275" s="87" t="s">
        <v>59</v>
      </c>
      <c r="M1275" s="87" t="s">
        <v>68</v>
      </c>
      <c r="N1275" s="88" t="s">
        <v>65</v>
      </c>
    </row>
    <row r="1276" spans="1:14">
      <c r="A1276" s="81">
        <v>46244</v>
      </c>
      <c r="B1276" s="82" t="s">
        <v>1344</v>
      </c>
      <c r="C1276" s="82" t="s">
        <v>26</v>
      </c>
      <c r="D1276" s="82" t="s">
        <v>32</v>
      </c>
      <c r="E1276" s="82" t="s">
        <v>42</v>
      </c>
      <c r="F1276" s="83">
        <v>6</v>
      </c>
      <c r="G1276" s="84">
        <v>868.1</v>
      </c>
      <c r="H1276" s="85">
        <v>0.1</v>
      </c>
      <c r="I1276" s="86">
        <f t="shared" si="38"/>
        <v>4687.7400000000007</v>
      </c>
      <c r="J1276" s="86">
        <v>3177.25</v>
      </c>
      <c r="K1276" s="86">
        <f t="shared" si="39"/>
        <v>1510.4900000000007</v>
      </c>
      <c r="L1276" s="87" t="s">
        <v>59</v>
      </c>
      <c r="M1276" s="87" t="s">
        <v>60</v>
      </c>
      <c r="N1276" s="88" t="s">
        <v>61</v>
      </c>
    </row>
    <row r="1277" spans="1:14">
      <c r="A1277" s="81">
        <v>46244</v>
      </c>
      <c r="B1277" s="82" t="s">
        <v>1345</v>
      </c>
      <c r="C1277" s="82" t="s">
        <v>36</v>
      </c>
      <c r="D1277" s="82" t="s">
        <v>27</v>
      </c>
      <c r="E1277" s="82" t="s">
        <v>35</v>
      </c>
      <c r="F1277" s="83">
        <v>3</v>
      </c>
      <c r="G1277" s="84">
        <v>423.37</v>
      </c>
      <c r="H1277" s="85">
        <v>0.05</v>
      </c>
      <c r="I1277" s="86">
        <f t="shared" si="38"/>
        <v>1206.6045000000001</v>
      </c>
      <c r="J1277" s="86">
        <v>762.07</v>
      </c>
      <c r="K1277" s="86">
        <f t="shared" si="39"/>
        <v>444.53450000000009</v>
      </c>
      <c r="L1277" s="87" t="s">
        <v>63</v>
      </c>
      <c r="M1277" s="87" t="s">
        <v>60</v>
      </c>
      <c r="N1277" s="88" t="s">
        <v>74</v>
      </c>
    </row>
    <row r="1278" spans="1:14">
      <c r="A1278" s="81">
        <v>46244</v>
      </c>
      <c r="B1278" s="82" t="s">
        <v>1346</v>
      </c>
      <c r="C1278" s="82" t="s">
        <v>36</v>
      </c>
      <c r="D1278" s="82" t="s">
        <v>32</v>
      </c>
      <c r="E1278" s="82" t="s">
        <v>42</v>
      </c>
      <c r="F1278" s="83">
        <v>3</v>
      </c>
      <c r="G1278" s="84">
        <v>942.31</v>
      </c>
      <c r="H1278" s="85">
        <v>0.08</v>
      </c>
      <c r="I1278" s="86">
        <f t="shared" si="38"/>
        <v>2600.7755999999999</v>
      </c>
      <c r="J1278" s="86">
        <v>1724.43</v>
      </c>
      <c r="K1278" s="86">
        <f t="shared" si="39"/>
        <v>876.34559999999988</v>
      </c>
      <c r="L1278" s="87" t="s">
        <v>63</v>
      </c>
      <c r="M1278" s="87" t="s">
        <v>64</v>
      </c>
      <c r="N1278" s="88" t="s">
        <v>61</v>
      </c>
    </row>
    <row r="1279" spans="1:14">
      <c r="A1279" s="81">
        <v>46245</v>
      </c>
      <c r="B1279" s="82" t="s">
        <v>1347</v>
      </c>
      <c r="C1279" s="82" t="s">
        <v>40</v>
      </c>
      <c r="D1279" s="82" t="s">
        <v>37</v>
      </c>
      <c r="E1279" s="82" t="s">
        <v>48</v>
      </c>
      <c r="F1279" s="83">
        <v>8</v>
      </c>
      <c r="G1279" s="84">
        <v>83.54</v>
      </c>
      <c r="H1279" s="85">
        <v>0.1</v>
      </c>
      <c r="I1279" s="86">
        <f t="shared" si="38"/>
        <v>601.48800000000006</v>
      </c>
      <c r="J1279" s="86">
        <v>280.69</v>
      </c>
      <c r="K1279" s="86">
        <f t="shared" si="39"/>
        <v>320.79800000000006</v>
      </c>
      <c r="L1279" s="87" t="s">
        <v>59</v>
      </c>
      <c r="M1279" s="87" t="s">
        <v>68</v>
      </c>
      <c r="N1279" s="88" t="s">
        <v>71</v>
      </c>
    </row>
    <row r="1280" spans="1:14">
      <c r="A1280" s="81">
        <v>46247</v>
      </c>
      <c r="B1280" s="82" t="s">
        <v>1348</v>
      </c>
      <c r="C1280" s="82" t="s">
        <v>40</v>
      </c>
      <c r="D1280" s="82" t="s">
        <v>27</v>
      </c>
      <c r="E1280" s="82" t="s">
        <v>30</v>
      </c>
      <c r="F1280" s="83">
        <v>5</v>
      </c>
      <c r="G1280" s="84">
        <v>746.38</v>
      </c>
      <c r="H1280" s="85">
        <v>0.08</v>
      </c>
      <c r="I1280" s="86">
        <f t="shared" si="38"/>
        <v>3433.3480000000004</v>
      </c>
      <c r="J1280" s="86">
        <v>2388.42</v>
      </c>
      <c r="K1280" s="86">
        <f t="shared" si="39"/>
        <v>1044.9280000000003</v>
      </c>
      <c r="L1280" s="87" t="s">
        <v>67</v>
      </c>
      <c r="M1280" s="87" t="s">
        <v>64</v>
      </c>
      <c r="N1280" s="88" t="s">
        <v>61</v>
      </c>
    </row>
    <row r="1281" spans="1:14">
      <c r="A1281" s="81">
        <v>46247</v>
      </c>
      <c r="B1281" s="82" t="s">
        <v>1349</v>
      </c>
      <c r="C1281" s="82" t="s">
        <v>31</v>
      </c>
      <c r="D1281" s="82" t="s">
        <v>27</v>
      </c>
      <c r="E1281" s="82" t="s">
        <v>30</v>
      </c>
      <c r="F1281" s="83">
        <v>7</v>
      </c>
      <c r="G1281" s="84">
        <v>745.91</v>
      </c>
      <c r="H1281" s="85">
        <v>0.1</v>
      </c>
      <c r="I1281" s="86">
        <f t="shared" si="38"/>
        <v>4699.2330000000002</v>
      </c>
      <c r="J1281" s="86">
        <v>3341.68</v>
      </c>
      <c r="K1281" s="86">
        <f t="shared" si="39"/>
        <v>1357.5530000000003</v>
      </c>
      <c r="L1281" s="87" t="s">
        <v>63</v>
      </c>
      <c r="M1281" s="87" t="s">
        <v>68</v>
      </c>
      <c r="N1281" s="88" t="s">
        <v>78</v>
      </c>
    </row>
    <row r="1282" spans="1:14">
      <c r="A1282" s="81">
        <v>46247</v>
      </c>
      <c r="B1282" s="82" t="s">
        <v>1350</v>
      </c>
      <c r="C1282" s="82" t="s">
        <v>31</v>
      </c>
      <c r="D1282" s="82" t="s">
        <v>32</v>
      </c>
      <c r="E1282" s="82" t="s">
        <v>39</v>
      </c>
      <c r="F1282" s="83">
        <v>11</v>
      </c>
      <c r="G1282" s="84">
        <v>489.1</v>
      </c>
      <c r="H1282" s="85">
        <v>0.05</v>
      </c>
      <c r="I1282" s="86">
        <f t="shared" ref="I1282:I1345" si="40">F1282*G1282*(1-H1282)</f>
        <v>5111.0950000000003</v>
      </c>
      <c r="J1282" s="86">
        <v>3066.66</v>
      </c>
      <c r="K1282" s="86">
        <f t="shared" ref="K1282:K1345" si="41">I1282-J1282</f>
        <v>2044.4350000000004</v>
      </c>
      <c r="L1282" s="87" t="s">
        <v>59</v>
      </c>
      <c r="M1282" s="87" t="s">
        <v>68</v>
      </c>
      <c r="N1282" s="88" t="s">
        <v>78</v>
      </c>
    </row>
    <row r="1283" spans="1:14">
      <c r="A1283" s="81">
        <v>46247</v>
      </c>
      <c r="B1283" s="82" t="s">
        <v>1351</v>
      </c>
      <c r="C1283" s="82" t="s">
        <v>31</v>
      </c>
      <c r="D1283" s="82" t="s">
        <v>27</v>
      </c>
      <c r="E1283" s="82" t="s">
        <v>30</v>
      </c>
      <c r="F1283" s="83">
        <v>5</v>
      </c>
      <c r="G1283" s="84">
        <v>745.35</v>
      </c>
      <c r="H1283" s="85">
        <v>0</v>
      </c>
      <c r="I1283" s="86">
        <f t="shared" si="40"/>
        <v>3726.75</v>
      </c>
      <c r="J1283" s="86">
        <v>2385.12</v>
      </c>
      <c r="K1283" s="86">
        <f t="shared" si="41"/>
        <v>1341.63</v>
      </c>
      <c r="L1283" s="87" t="s">
        <v>59</v>
      </c>
      <c r="M1283" s="87" t="s">
        <v>64</v>
      </c>
      <c r="N1283" s="88" t="s">
        <v>65</v>
      </c>
    </row>
    <row r="1284" spans="1:14">
      <c r="A1284" s="81">
        <v>46251</v>
      </c>
      <c r="B1284" s="82" t="s">
        <v>1352</v>
      </c>
      <c r="C1284" s="82" t="s">
        <v>36</v>
      </c>
      <c r="D1284" s="82" t="s">
        <v>37</v>
      </c>
      <c r="E1284" s="82" t="s">
        <v>47</v>
      </c>
      <c r="F1284" s="83">
        <v>11</v>
      </c>
      <c r="G1284" s="84">
        <v>136.37</v>
      </c>
      <c r="H1284" s="85">
        <v>0</v>
      </c>
      <c r="I1284" s="86">
        <f t="shared" si="40"/>
        <v>1500.0700000000002</v>
      </c>
      <c r="J1284" s="86">
        <v>690.03</v>
      </c>
      <c r="K1284" s="86">
        <f t="shared" si="41"/>
        <v>810.04000000000019</v>
      </c>
      <c r="L1284" s="87" t="s">
        <v>67</v>
      </c>
      <c r="M1284" s="87" t="s">
        <v>68</v>
      </c>
      <c r="N1284" s="88" t="s">
        <v>65</v>
      </c>
    </row>
    <row r="1285" spans="1:14">
      <c r="A1285" s="81">
        <v>46252</v>
      </c>
      <c r="B1285" s="82" t="s">
        <v>1353</v>
      </c>
      <c r="C1285" s="82" t="s">
        <v>40</v>
      </c>
      <c r="D1285" s="82" t="s">
        <v>37</v>
      </c>
      <c r="E1285" s="82" t="s">
        <v>48</v>
      </c>
      <c r="F1285" s="83">
        <v>1</v>
      </c>
      <c r="G1285" s="84">
        <v>79.03</v>
      </c>
      <c r="H1285" s="85">
        <v>0.1</v>
      </c>
      <c r="I1285" s="86">
        <f t="shared" si="40"/>
        <v>71.12700000000001</v>
      </c>
      <c r="J1285" s="86">
        <v>33.19</v>
      </c>
      <c r="K1285" s="86">
        <f t="shared" si="41"/>
        <v>37.937000000000012</v>
      </c>
      <c r="L1285" s="87" t="s">
        <v>67</v>
      </c>
      <c r="M1285" s="87" t="s">
        <v>64</v>
      </c>
      <c r="N1285" s="88" t="s">
        <v>74</v>
      </c>
    </row>
    <row r="1286" spans="1:14">
      <c r="A1286" s="81">
        <v>46253</v>
      </c>
      <c r="B1286" s="82" t="s">
        <v>1354</v>
      </c>
      <c r="C1286" s="82" t="s">
        <v>36</v>
      </c>
      <c r="D1286" s="82" t="s">
        <v>27</v>
      </c>
      <c r="E1286" s="82" t="s">
        <v>25</v>
      </c>
      <c r="F1286" s="83">
        <v>8</v>
      </c>
      <c r="G1286" s="84">
        <v>1337.4</v>
      </c>
      <c r="H1286" s="85">
        <v>0.03</v>
      </c>
      <c r="I1286" s="86">
        <f t="shared" si="40"/>
        <v>10378.224</v>
      </c>
      <c r="J1286" s="86">
        <v>7275.46</v>
      </c>
      <c r="K1286" s="86">
        <f t="shared" si="41"/>
        <v>3102.7640000000001</v>
      </c>
      <c r="L1286" s="87" t="s">
        <v>67</v>
      </c>
      <c r="M1286" s="87" t="s">
        <v>68</v>
      </c>
      <c r="N1286" s="88" t="s">
        <v>61</v>
      </c>
    </row>
    <row r="1287" spans="1:14">
      <c r="A1287" s="81">
        <v>46253</v>
      </c>
      <c r="B1287" s="82" t="s">
        <v>1355</v>
      </c>
      <c r="C1287" s="82" t="s">
        <v>36</v>
      </c>
      <c r="D1287" s="82" t="s">
        <v>27</v>
      </c>
      <c r="E1287" s="82" t="s">
        <v>25</v>
      </c>
      <c r="F1287" s="83">
        <v>11</v>
      </c>
      <c r="G1287" s="84">
        <v>1345.37</v>
      </c>
      <c r="H1287" s="85">
        <v>0.05</v>
      </c>
      <c r="I1287" s="86">
        <f t="shared" si="40"/>
        <v>14059.116499999998</v>
      </c>
      <c r="J1287" s="86">
        <v>10063.370000000001</v>
      </c>
      <c r="K1287" s="86">
        <f t="shared" si="41"/>
        <v>3995.7464999999975</v>
      </c>
      <c r="L1287" s="87" t="s">
        <v>67</v>
      </c>
      <c r="M1287" s="87" t="s">
        <v>68</v>
      </c>
      <c r="N1287" s="88" t="s">
        <v>74</v>
      </c>
    </row>
    <row r="1288" spans="1:14">
      <c r="A1288" s="81">
        <v>46254</v>
      </c>
      <c r="B1288" s="82" t="s">
        <v>1356</v>
      </c>
      <c r="C1288" s="82" t="s">
        <v>36</v>
      </c>
      <c r="D1288" s="82" t="s">
        <v>37</v>
      </c>
      <c r="E1288" s="82" t="s">
        <v>47</v>
      </c>
      <c r="F1288" s="83">
        <v>7</v>
      </c>
      <c r="G1288" s="84">
        <v>149.26</v>
      </c>
      <c r="H1288" s="85">
        <v>0.08</v>
      </c>
      <c r="I1288" s="86">
        <f t="shared" si="40"/>
        <v>961.23439999999994</v>
      </c>
      <c r="J1288" s="86">
        <v>480.62</v>
      </c>
      <c r="K1288" s="86">
        <f t="shared" si="41"/>
        <v>480.61439999999993</v>
      </c>
      <c r="L1288" s="87" t="s">
        <v>59</v>
      </c>
      <c r="M1288" s="87" t="s">
        <v>60</v>
      </c>
      <c r="N1288" s="88" t="s">
        <v>69</v>
      </c>
    </row>
    <row r="1289" spans="1:14">
      <c r="A1289" s="81">
        <v>46254</v>
      </c>
      <c r="B1289" s="82" t="s">
        <v>1357</v>
      </c>
      <c r="C1289" s="82" t="s">
        <v>31</v>
      </c>
      <c r="D1289" s="82" t="s">
        <v>27</v>
      </c>
      <c r="E1289" s="82" t="s">
        <v>35</v>
      </c>
      <c r="F1289" s="83">
        <v>4</v>
      </c>
      <c r="G1289" s="84">
        <v>450.26</v>
      </c>
      <c r="H1289" s="85">
        <v>0.1</v>
      </c>
      <c r="I1289" s="86">
        <f t="shared" si="40"/>
        <v>1620.9359999999999</v>
      </c>
      <c r="J1289" s="86">
        <v>1080.6199999999999</v>
      </c>
      <c r="K1289" s="86">
        <f t="shared" si="41"/>
        <v>540.31600000000003</v>
      </c>
      <c r="L1289" s="87" t="s">
        <v>67</v>
      </c>
      <c r="M1289" s="87" t="s">
        <v>60</v>
      </c>
      <c r="N1289" s="88" t="s">
        <v>61</v>
      </c>
    </row>
    <row r="1290" spans="1:14">
      <c r="A1290" s="81">
        <v>46256</v>
      </c>
      <c r="B1290" s="82" t="s">
        <v>1358</v>
      </c>
      <c r="C1290" s="82" t="s">
        <v>31</v>
      </c>
      <c r="D1290" s="82" t="s">
        <v>32</v>
      </c>
      <c r="E1290" s="82" t="s">
        <v>46</v>
      </c>
      <c r="F1290" s="83">
        <v>4</v>
      </c>
      <c r="G1290" s="84">
        <v>110.11</v>
      </c>
      <c r="H1290" s="85">
        <v>0</v>
      </c>
      <c r="I1290" s="86">
        <f t="shared" si="40"/>
        <v>440.44</v>
      </c>
      <c r="J1290" s="86">
        <v>211.41</v>
      </c>
      <c r="K1290" s="86">
        <f t="shared" si="41"/>
        <v>229.03</v>
      </c>
      <c r="L1290" s="87" t="s">
        <v>63</v>
      </c>
      <c r="M1290" s="87" t="s">
        <v>64</v>
      </c>
      <c r="N1290" s="88" t="s">
        <v>65</v>
      </c>
    </row>
    <row r="1291" spans="1:14">
      <c r="A1291" s="81">
        <v>46258</v>
      </c>
      <c r="B1291" s="82" t="s">
        <v>1359</v>
      </c>
      <c r="C1291" s="82" t="s">
        <v>36</v>
      </c>
      <c r="D1291" s="82" t="s">
        <v>37</v>
      </c>
      <c r="E1291" s="82" t="s">
        <v>47</v>
      </c>
      <c r="F1291" s="83">
        <v>9</v>
      </c>
      <c r="G1291" s="84">
        <v>139.54</v>
      </c>
      <c r="H1291" s="85">
        <v>0.12</v>
      </c>
      <c r="I1291" s="86">
        <f t="shared" si="40"/>
        <v>1105.1568</v>
      </c>
      <c r="J1291" s="86">
        <v>577.70000000000005</v>
      </c>
      <c r="K1291" s="86">
        <f t="shared" si="41"/>
        <v>527.45679999999993</v>
      </c>
      <c r="L1291" s="87" t="s">
        <v>59</v>
      </c>
      <c r="M1291" s="87" t="s">
        <v>64</v>
      </c>
      <c r="N1291" s="88" t="s">
        <v>61</v>
      </c>
    </row>
    <row r="1292" spans="1:14">
      <c r="A1292" s="81">
        <v>46258</v>
      </c>
      <c r="B1292" s="82" t="s">
        <v>1360</v>
      </c>
      <c r="C1292" s="82" t="s">
        <v>36</v>
      </c>
      <c r="D1292" s="82" t="s">
        <v>32</v>
      </c>
      <c r="E1292" s="82" t="s">
        <v>39</v>
      </c>
      <c r="F1292" s="83">
        <v>5</v>
      </c>
      <c r="G1292" s="84">
        <v>507.68</v>
      </c>
      <c r="H1292" s="85">
        <v>0</v>
      </c>
      <c r="I1292" s="86">
        <f t="shared" si="40"/>
        <v>2538.4</v>
      </c>
      <c r="J1292" s="86">
        <v>1446.89</v>
      </c>
      <c r="K1292" s="86">
        <f t="shared" si="41"/>
        <v>1091.51</v>
      </c>
      <c r="L1292" s="87" t="s">
        <v>67</v>
      </c>
      <c r="M1292" s="87" t="s">
        <v>60</v>
      </c>
      <c r="N1292" s="88" t="s">
        <v>61</v>
      </c>
    </row>
    <row r="1293" spans="1:14">
      <c r="A1293" s="81">
        <v>46259</v>
      </c>
      <c r="B1293" s="82" t="s">
        <v>1361</v>
      </c>
      <c r="C1293" s="82" t="s">
        <v>40</v>
      </c>
      <c r="D1293" s="82" t="s">
        <v>37</v>
      </c>
      <c r="E1293" s="82" t="s">
        <v>47</v>
      </c>
      <c r="F1293" s="83">
        <v>4</v>
      </c>
      <c r="G1293" s="84">
        <v>149.61000000000001</v>
      </c>
      <c r="H1293" s="85">
        <v>0</v>
      </c>
      <c r="I1293" s="86">
        <f t="shared" si="40"/>
        <v>598.44000000000005</v>
      </c>
      <c r="J1293" s="86">
        <v>275.27999999999997</v>
      </c>
      <c r="K1293" s="86">
        <f t="shared" si="41"/>
        <v>323.16000000000008</v>
      </c>
      <c r="L1293" s="87" t="s">
        <v>59</v>
      </c>
      <c r="M1293" s="87" t="s">
        <v>64</v>
      </c>
      <c r="N1293" s="88" t="s">
        <v>71</v>
      </c>
    </row>
    <row r="1294" spans="1:14">
      <c r="A1294" s="81">
        <v>46259</v>
      </c>
      <c r="B1294" s="82" t="s">
        <v>1362</v>
      </c>
      <c r="C1294" s="82" t="s">
        <v>40</v>
      </c>
      <c r="D1294" s="82" t="s">
        <v>27</v>
      </c>
      <c r="E1294" s="82" t="s">
        <v>35</v>
      </c>
      <c r="F1294" s="83">
        <v>8</v>
      </c>
      <c r="G1294" s="84">
        <v>439.69</v>
      </c>
      <c r="H1294" s="85">
        <v>0.08</v>
      </c>
      <c r="I1294" s="86">
        <f t="shared" si="40"/>
        <v>3236.1184000000003</v>
      </c>
      <c r="J1294" s="86">
        <v>2110.5100000000002</v>
      </c>
      <c r="K1294" s="86">
        <f t="shared" si="41"/>
        <v>1125.6084000000001</v>
      </c>
      <c r="L1294" s="87" t="s">
        <v>59</v>
      </c>
      <c r="M1294" s="87" t="s">
        <v>64</v>
      </c>
      <c r="N1294" s="88" t="s">
        <v>69</v>
      </c>
    </row>
    <row r="1295" spans="1:14">
      <c r="A1295" s="81">
        <v>46260</v>
      </c>
      <c r="B1295" s="82" t="s">
        <v>1363</v>
      </c>
      <c r="C1295" s="82" t="s">
        <v>36</v>
      </c>
      <c r="D1295" s="82" t="s">
        <v>32</v>
      </c>
      <c r="E1295" s="82" t="s">
        <v>46</v>
      </c>
      <c r="F1295" s="83">
        <v>5</v>
      </c>
      <c r="G1295" s="84">
        <v>112.78</v>
      </c>
      <c r="H1295" s="85">
        <v>0.03</v>
      </c>
      <c r="I1295" s="86">
        <f t="shared" si="40"/>
        <v>546.98299999999995</v>
      </c>
      <c r="J1295" s="86">
        <v>270.67</v>
      </c>
      <c r="K1295" s="86">
        <f t="shared" si="41"/>
        <v>276.31299999999993</v>
      </c>
      <c r="L1295" s="87" t="s">
        <v>59</v>
      </c>
      <c r="M1295" s="87" t="s">
        <v>60</v>
      </c>
      <c r="N1295" s="88" t="s">
        <v>65</v>
      </c>
    </row>
    <row r="1296" spans="1:14">
      <c r="A1296" s="81">
        <v>46261</v>
      </c>
      <c r="B1296" s="82" t="s">
        <v>1364</v>
      </c>
      <c r="C1296" s="82" t="s">
        <v>36</v>
      </c>
      <c r="D1296" s="82" t="s">
        <v>32</v>
      </c>
      <c r="E1296" s="82" t="s">
        <v>42</v>
      </c>
      <c r="F1296" s="83">
        <v>12</v>
      </c>
      <c r="G1296" s="84">
        <v>884.98</v>
      </c>
      <c r="H1296" s="85">
        <v>0.05</v>
      </c>
      <c r="I1296" s="86">
        <f t="shared" si="40"/>
        <v>10088.771999999999</v>
      </c>
      <c r="J1296" s="86">
        <v>6478.05</v>
      </c>
      <c r="K1296" s="86">
        <f t="shared" si="41"/>
        <v>3610.7219999999988</v>
      </c>
      <c r="L1296" s="87" t="s">
        <v>59</v>
      </c>
      <c r="M1296" s="87" t="s">
        <v>68</v>
      </c>
      <c r="N1296" s="88" t="s">
        <v>69</v>
      </c>
    </row>
    <row r="1297" spans="1:14">
      <c r="A1297" s="81">
        <v>46261</v>
      </c>
      <c r="B1297" s="82" t="s">
        <v>1365</v>
      </c>
      <c r="C1297" s="82" t="s">
        <v>36</v>
      </c>
      <c r="D1297" s="82" t="s">
        <v>27</v>
      </c>
      <c r="E1297" s="82" t="s">
        <v>30</v>
      </c>
      <c r="F1297" s="83">
        <v>5</v>
      </c>
      <c r="G1297" s="84">
        <v>743.38</v>
      </c>
      <c r="H1297" s="85">
        <v>0.03</v>
      </c>
      <c r="I1297" s="86">
        <f t="shared" si="40"/>
        <v>3605.393</v>
      </c>
      <c r="J1297" s="86">
        <v>2378.8200000000002</v>
      </c>
      <c r="K1297" s="86">
        <f t="shared" si="41"/>
        <v>1226.5729999999999</v>
      </c>
      <c r="L1297" s="87" t="s">
        <v>67</v>
      </c>
      <c r="M1297" s="87" t="s">
        <v>60</v>
      </c>
      <c r="N1297" s="88" t="s">
        <v>65</v>
      </c>
    </row>
    <row r="1298" spans="1:14">
      <c r="A1298" s="81">
        <v>46262</v>
      </c>
      <c r="B1298" s="82" t="s">
        <v>1366</v>
      </c>
      <c r="C1298" s="82" t="s">
        <v>31</v>
      </c>
      <c r="D1298" s="82" t="s">
        <v>32</v>
      </c>
      <c r="E1298" s="82" t="s">
        <v>42</v>
      </c>
      <c r="F1298" s="83">
        <v>7</v>
      </c>
      <c r="G1298" s="84">
        <v>886.11</v>
      </c>
      <c r="H1298" s="85">
        <v>0.12</v>
      </c>
      <c r="I1298" s="86">
        <f t="shared" si="40"/>
        <v>5458.4376000000002</v>
      </c>
      <c r="J1298" s="86">
        <v>3783.69</v>
      </c>
      <c r="K1298" s="86">
        <f t="shared" si="41"/>
        <v>1674.7476000000001</v>
      </c>
      <c r="L1298" s="87" t="s">
        <v>63</v>
      </c>
      <c r="M1298" s="87" t="s">
        <v>60</v>
      </c>
      <c r="N1298" s="88" t="s">
        <v>61</v>
      </c>
    </row>
    <row r="1299" spans="1:14">
      <c r="A1299" s="81">
        <v>46262</v>
      </c>
      <c r="B1299" s="82" t="s">
        <v>1367</v>
      </c>
      <c r="C1299" s="82" t="s">
        <v>31</v>
      </c>
      <c r="D1299" s="82" t="s">
        <v>27</v>
      </c>
      <c r="E1299" s="82" t="s">
        <v>25</v>
      </c>
      <c r="F1299" s="83">
        <v>3</v>
      </c>
      <c r="G1299" s="84">
        <v>1436.95</v>
      </c>
      <c r="H1299" s="85">
        <v>0</v>
      </c>
      <c r="I1299" s="86">
        <f t="shared" si="40"/>
        <v>4310.8500000000004</v>
      </c>
      <c r="J1299" s="86">
        <v>2931.38</v>
      </c>
      <c r="K1299" s="86">
        <f t="shared" si="41"/>
        <v>1379.4700000000003</v>
      </c>
      <c r="L1299" s="87" t="s">
        <v>59</v>
      </c>
      <c r="M1299" s="87" t="s">
        <v>60</v>
      </c>
      <c r="N1299" s="88" t="s">
        <v>78</v>
      </c>
    </row>
    <row r="1300" spans="1:14">
      <c r="A1300" s="81">
        <v>46264</v>
      </c>
      <c r="B1300" s="82" t="s">
        <v>1368</v>
      </c>
      <c r="C1300" s="82" t="s">
        <v>36</v>
      </c>
      <c r="D1300" s="82" t="s">
        <v>27</v>
      </c>
      <c r="E1300" s="82" t="s">
        <v>35</v>
      </c>
      <c r="F1300" s="83">
        <v>1</v>
      </c>
      <c r="G1300" s="84">
        <v>446.3</v>
      </c>
      <c r="H1300" s="85">
        <v>0.05</v>
      </c>
      <c r="I1300" s="86">
        <f t="shared" si="40"/>
        <v>423.98500000000001</v>
      </c>
      <c r="J1300" s="86">
        <v>267.77999999999997</v>
      </c>
      <c r="K1300" s="86">
        <f t="shared" si="41"/>
        <v>156.20500000000004</v>
      </c>
      <c r="L1300" s="87" t="s">
        <v>59</v>
      </c>
      <c r="M1300" s="87" t="s">
        <v>60</v>
      </c>
      <c r="N1300" s="88" t="s">
        <v>65</v>
      </c>
    </row>
    <row r="1301" spans="1:14">
      <c r="A1301" s="81">
        <v>46265</v>
      </c>
      <c r="B1301" s="82" t="s">
        <v>1369</v>
      </c>
      <c r="C1301" s="82" t="s">
        <v>40</v>
      </c>
      <c r="D1301" s="82" t="s">
        <v>37</v>
      </c>
      <c r="E1301" s="82" t="s">
        <v>47</v>
      </c>
      <c r="F1301" s="83">
        <v>5</v>
      </c>
      <c r="G1301" s="84">
        <v>142.74</v>
      </c>
      <c r="H1301" s="85">
        <v>0.03</v>
      </c>
      <c r="I1301" s="86">
        <f t="shared" si="40"/>
        <v>692.28899999999999</v>
      </c>
      <c r="J1301" s="86">
        <v>328.3</v>
      </c>
      <c r="K1301" s="86">
        <f t="shared" si="41"/>
        <v>363.98899999999998</v>
      </c>
      <c r="L1301" s="87" t="s">
        <v>67</v>
      </c>
      <c r="M1301" s="87" t="s">
        <v>64</v>
      </c>
      <c r="N1301" s="88" t="s">
        <v>74</v>
      </c>
    </row>
    <row r="1302" spans="1:14">
      <c r="A1302" s="81">
        <v>46266</v>
      </c>
      <c r="B1302" s="82" t="s">
        <v>1370</v>
      </c>
      <c r="C1302" s="82" t="s">
        <v>36</v>
      </c>
      <c r="D1302" s="82" t="s">
        <v>27</v>
      </c>
      <c r="E1302" s="82" t="s">
        <v>35</v>
      </c>
      <c r="F1302" s="83">
        <v>5</v>
      </c>
      <c r="G1302" s="84">
        <v>420.64</v>
      </c>
      <c r="H1302" s="85">
        <v>0.1</v>
      </c>
      <c r="I1302" s="86">
        <f t="shared" si="40"/>
        <v>1892.8799999999999</v>
      </c>
      <c r="J1302" s="86">
        <v>1261.92</v>
      </c>
      <c r="K1302" s="86">
        <f t="shared" si="41"/>
        <v>630.95999999999981</v>
      </c>
      <c r="L1302" s="87" t="s">
        <v>67</v>
      </c>
      <c r="M1302" s="87" t="s">
        <v>60</v>
      </c>
      <c r="N1302" s="88" t="s">
        <v>65</v>
      </c>
    </row>
    <row r="1303" spans="1:14">
      <c r="A1303" s="81">
        <v>46267</v>
      </c>
      <c r="B1303" s="82" t="s">
        <v>1371</v>
      </c>
      <c r="C1303" s="82" t="s">
        <v>31</v>
      </c>
      <c r="D1303" s="82" t="s">
        <v>32</v>
      </c>
      <c r="E1303" s="82" t="s">
        <v>39</v>
      </c>
      <c r="F1303" s="83">
        <v>11</v>
      </c>
      <c r="G1303" s="84">
        <v>505.22</v>
      </c>
      <c r="H1303" s="85">
        <v>0.03</v>
      </c>
      <c r="I1303" s="86">
        <f t="shared" si="40"/>
        <v>5390.6974</v>
      </c>
      <c r="J1303" s="86">
        <v>3167.73</v>
      </c>
      <c r="K1303" s="86">
        <f t="shared" si="41"/>
        <v>2222.9674</v>
      </c>
      <c r="L1303" s="87" t="s">
        <v>63</v>
      </c>
      <c r="M1303" s="87" t="s">
        <v>68</v>
      </c>
      <c r="N1303" s="88" t="s">
        <v>61</v>
      </c>
    </row>
    <row r="1304" spans="1:14">
      <c r="A1304" s="81">
        <v>46268</v>
      </c>
      <c r="B1304" s="82" t="s">
        <v>1372</v>
      </c>
      <c r="C1304" s="82" t="s">
        <v>36</v>
      </c>
      <c r="D1304" s="82" t="s">
        <v>37</v>
      </c>
      <c r="E1304" s="82" t="s">
        <v>47</v>
      </c>
      <c r="F1304" s="83">
        <v>7</v>
      </c>
      <c r="G1304" s="84">
        <v>137.03</v>
      </c>
      <c r="H1304" s="85">
        <v>0.05</v>
      </c>
      <c r="I1304" s="86">
        <f t="shared" si="40"/>
        <v>911.24950000000001</v>
      </c>
      <c r="J1304" s="86">
        <v>441.24</v>
      </c>
      <c r="K1304" s="86">
        <f t="shared" si="41"/>
        <v>470.0095</v>
      </c>
      <c r="L1304" s="87" t="s">
        <v>63</v>
      </c>
      <c r="M1304" s="87" t="s">
        <v>60</v>
      </c>
      <c r="N1304" s="88" t="s">
        <v>74</v>
      </c>
    </row>
    <row r="1305" spans="1:14">
      <c r="A1305" s="81">
        <v>46269</v>
      </c>
      <c r="B1305" s="82" t="s">
        <v>1373</v>
      </c>
      <c r="C1305" s="82" t="s">
        <v>31</v>
      </c>
      <c r="D1305" s="82" t="s">
        <v>27</v>
      </c>
      <c r="E1305" s="82" t="s">
        <v>25</v>
      </c>
      <c r="F1305" s="83">
        <v>3</v>
      </c>
      <c r="G1305" s="84">
        <v>1359.71</v>
      </c>
      <c r="H1305" s="85">
        <v>0.12</v>
      </c>
      <c r="I1305" s="86">
        <f t="shared" si="40"/>
        <v>3589.6343999999999</v>
      </c>
      <c r="J1305" s="86">
        <v>2773.81</v>
      </c>
      <c r="K1305" s="86">
        <f t="shared" si="41"/>
        <v>815.82439999999997</v>
      </c>
      <c r="L1305" s="87" t="s">
        <v>63</v>
      </c>
      <c r="M1305" s="87" t="s">
        <v>68</v>
      </c>
      <c r="N1305" s="88" t="s">
        <v>74</v>
      </c>
    </row>
    <row r="1306" spans="1:14">
      <c r="A1306" s="81">
        <v>46270</v>
      </c>
      <c r="B1306" s="82" t="s">
        <v>1374</v>
      </c>
      <c r="C1306" s="82" t="s">
        <v>36</v>
      </c>
      <c r="D1306" s="82" t="s">
        <v>37</v>
      </c>
      <c r="E1306" s="82" t="s">
        <v>47</v>
      </c>
      <c r="F1306" s="83">
        <v>6</v>
      </c>
      <c r="G1306" s="84">
        <v>136.38999999999999</v>
      </c>
      <c r="H1306" s="85">
        <v>0.1</v>
      </c>
      <c r="I1306" s="86">
        <f t="shared" si="40"/>
        <v>736.50599999999997</v>
      </c>
      <c r="J1306" s="86">
        <v>376.44</v>
      </c>
      <c r="K1306" s="86">
        <f t="shared" si="41"/>
        <v>360.06599999999997</v>
      </c>
      <c r="L1306" s="87" t="s">
        <v>67</v>
      </c>
      <c r="M1306" s="87" t="s">
        <v>60</v>
      </c>
      <c r="N1306" s="88" t="s">
        <v>74</v>
      </c>
    </row>
    <row r="1307" spans="1:14">
      <c r="A1307" s="81">
        <v>46273</v>
      </c>
      <c r="B1307" s="82" t="s">
        <v>1375</v>
      </c>
      <c r="C1307" s="82" t="s">
        <v>26</v>
      </c>
      <c r="D1307" s="82" t="s">
        <v>32</v>
      </c>
      <c r="E1307" s="82" t="s">
        <v>46</v>
      </c>
      <c r="F1307" s="83">
        <v>3</v>
      </c>
      <c r="G1307" s="84">
        <v>114.18</v>
      </c>
      <c r="H1307" s="85">
        <v>0</v>
      </c>
      <c r="I1307" s="86">
        <f t="shared" si="40"/>
        <v>342.54</v>
      </c>
      <c r="J1307" s="86">
        <v>164.42</v>
      </c>
      <c r="K1307" s="86">
        <f t="shared" si="41"/>
        <v>178.12000000000003</v>
      </c>
      <c r="L1307" s="87" t="s">
        <v>67</v>
      </c>
      <c r="M1307" s="87" t="s">
        <v>64</v>
      </c>
      <c r="N1307" s="88" t="s">
        <v>69</v>
      </c>
    </row>
    <row r="1308" spans="1:14">
      <c r="A1308" s="81">
        <v>46273</v>
      </c>
      <c r="B1308" s="82" t="s">
        <v>1376</v>
      </c>
      <c r="C1308" s="82" t="s">
        <v>40</v>
      </c>
      <c r="D1308" s="82" t="s">
        <v>27</v>
      </c>
      <c r="E1308" s="82" t="s">
        <v>35</v>
      </c>
      <c r="F1308" s="83">
        <v>3</v>
      </c>
      <c r="G1308" s="84">
        <v>413.92</v>
      </c>
      <c r="H1308" s="85">
        <v>0.05</v>
      </c>
      <c r="I1308" s="86">
        <f t="shared" si="40"/>
        <v>1179.672</v>
      </c>
      <c r="J1308" s="86">
        <v>745.06</v>
      </c>
      <c r="K1308" s="86">
        <f t="shared" si="41"/>
        <v>434.61200000000008</v>
      </c>
      <c r="L1308" s="87" t="s">
        <v>63</v>
      </c>
      <c r="M1308" s="87" t="s">
        <v>64</v>
      </c>
      <c r="N1308" s="88" t="s">
        <v>65</v>
      </c>
    </row>
    <row r="1309" spans="1:14">
      <c r="A1309" s="81">
        <v>46273</v>
      </c>
      <c r="B1309" s="82" t="s">
        <v>1377</v>
      </c>
      <c r="C1309" s="82" t="s">
        <v>31</v>
      </c>
      <c r="D1309" s="82" t="s">
        <v>37</v>
      </c>
      <c r="E1309" s="82" t="s">
        <v>48</v>
      </c>
      <c r="F1309" s="83">
        <v>8</v>
      </c>
      <c r="G1309" s="84">
        <v>82.94</v>
      </c>
      <c r="H1309" s="85">
        <v>0.08</v>
      </c>
      <c r="I1309" s="86">
        <f t="shared" si="40"/>
        <v>610.4384</v>
      </c>
      <c r="J1309" s="86">
        <v>278.68</v>
      </c>
      <c r="K1309" s="86">
        <f t="shared" si="41"/>
        <v>331.75839999999999</v>
      </c>
      <c r="L1309" s="87" t="s">
        <v>63</v>
      </c>
      <c r="M1309" s="87" t="s">
        <v>68</v>
      </c>
      <c r="N1309" s="88" t="s">
        <v>74</v>
      </c>
    </row>
    <row r="1310" spans="1:14">
      <c r="A1310" s="81">
        <v>46273</v>
      </c>
      <c r="B1310" s="82" t="s">
        <v>1378</v>
      </c>
      <c r="C1310" s="82" t="s">
        <v>31</v>
      </c>
      <c r="D1310" s="82" t="s">
        <v>27</v>
      </c>
      <c r="E1310" s="82" t="s">
        <v>35</v>
      </c>
      <c r="F1310" s="83">
        <v>7</v>
      </c>
      <c r="G1310" s="84">
        <v>431.54</v>
      </c>
      <c r="H1310" s="85">
        <v>0.03</v>
      </c>
      <c r="I1310" s="86">
        <f t="shared" si="40"/>
        <v>2930.1566000000003</v>
      </c>
      <c r="J1310" s="86">
        <v>1812.47</v>
      </c>
      <c r="K1310" s="86">
        <f t="shared" si="41"/>
        <v>1117.6866000000002</v>
      </c>
      <c r="L1310" s="87" t="s">
        <v>67</v>
      </c>
      <c r="M1310" s="87" t="s">
        <v>68</v>
      </c>
      <c r="N1310" s="88" t="s">
        <v>74</v>
      </c>
    </row>
    <row r="1311" spans="1:14">
      <c r="A1311" s="81">
        <v>46274</v>
      </c>
      <c r="B1311" s="82" t="s">
        <v>1379</v>
      </c>
      <c r="C1311" s="82" t="s">
        <v>36</v>
      </c>
      <c r="D1311" s="82" t="s">
        <v>27</v>
      </c>
      <c r="E1311" s="82" t="s">
        <v>25</v>
      </c>
      <c r="F1311" s="83">
        <v>4</v>
      </c>
      <c r="G1311" s="84">
        <v>1354.44</v>
      </c>
      <c r="H1311" s="85">
        <v>0</v>
      </c>
      <c r="I1311" s="86">
        <f t="shared" si="40"/>
        <v>5417.76</v>
      </c>
      <c r="J1311" s="86">
        <v>3684.08</v>
      </c>
      <c r="K1311" s="86">
        <f t="shared" si="41"/>
        <v>1733.6800000000003</v>
      </c>
      <c r="L1311" s="87" t="s">
        <v>67</v>
      </c>
      <c r="M1311" s="87" t="s">
        <v>68</v>
      </c>
      <c r="N1311" s="88" t="s">
        <v>78</v>
      </c>
    </row>
    <row r="1312" spans="1:14">
      <c r="A1312" s="81">
        <v>46278</v>
      </c>
      <c r="B1312" s="82" t="s">
        <v>1380</v>
      </c>
      <c r="C1312" s="82" t="s">
        <v>26</v>
      </c>
      <c r="D1312" s="82" t="s">
        <v>27</v>
      </c>
      <c r="E1312" s="82" t="s">
        <v>25</v>
      </c>
      <c r="F1312" s="83">
        <v>2</v>
      </c>
      <c r="G1312" s="84">
        <v>1352.28</v>
      </c>
      <c r="H1312" s="85">
        <v>0.08</v>
      </c>
      <c r="I1312" s="86">
        <f t="shared" si="40"/>
        <v>2488.1952000000001</v>
      </c>
      <c r="J1312" s="86">
        <v>1839.1</v>
      </c>
      <c r="K1312" s="86">
        <f t="shared" si="41"/>
        <v>649.0952000000002</v>
      </c>
      <c r="L1312" s="87" t="s">
        <v>63</v>
      </c>
      <c r="M1312" s="87" t="s">
        <v>60</v>
      </c>
      <c r="N1312" s="88" t="s">
        <v>78</v>
      </c>
    </row>
    <row r="1313" spans="1:14">
      <c r="A1313" s="81">
        <v>46279</v>
      </c>
      <c r="B1313" s="82" t="s">
        <v>1381</v>
      </c>
      <c r="C1313" s="82" t="s">
        <v>40</v>
      </c>
      <c r="D1313" s="82" t="s">
        <v>27</v>
      </c>
      <c r="E1313" s="82" t="s">
        <v>30</v>
      </c>
      <c r="F1313" s="83">
        <v>3</v>
      </c>
      <c r="G1313" s="84">
        <v>722.05</v>
      </c>
      <c r="H1313" s="85">
        <v>0.03</v>
      </c>
      <c r="I1313" s="86">
        <f t="shared" si="40"/>
        <v>2101.1654999999996</v>
      </c>
      <c r="J1313" s="86">
        <v>1386.34</v>
      </c>
      <c r="K1313" s="86">
        <f t="shared" si="41"/>
        <v>714.82549999999969</v>
      </c>
      <c r="L1313" s="87" t="s">
        <v>63</v>
      </c>
      <c r="M1313" s="87" t="s">
        <v>64</v>
      </c>
      <c r="N1313" s="88" t="s">
        <v>61</v>
      </c>
    </row>
    <row r="1314" spans="1:14">
      <c r="A1314" s="81">
        <v>46279</v>
      </c>
      <c r="B1314" s="82" t="s">
        <v>1382</v>
      </c>
      <c r="C1314" s="82" t="s">
        <v>26</v>
      </c>
      <c r="D1314" s="82" t="s">
        <v>37</v>
      </c>
      <c r="E1314" s="82" t="s">
        <v>47</v>
      </c>
      <c r="F1314" s="83">
        <v>11</v>
      </c>
      <c r="G1314" s="84">
        <v>138.15</v>
      </c>
      <c r="H1314" s="85">
        <v>0.12</v>
      </c>
      <c r="I1314" s="86">
        <f t="shared" si="40"/>
        <v>1337.2920000000001</v>
      </c>
      <c r="J1314" s="86">
        <v>699.04</v>
      </c>
      <c r="K1314" s="86">
        <f t="shared" si="41"/>
        <v>638.25200000000018</v>
      </c>
      <c r="L1314" s="87" t="s">
        <v>67</v>
      </c>
      <c r="M1314" s="87" t="s">
        <v>68</v>
      </c>
      <c r="N1314" s="88" t="s">
        <v>71</v>
      </c>
    </row>
    <row r="1315" spans="1:14">
      <c r="A1315" s="81">
        <v>46280</v>
      </c>
      <c r="B1315" s="82" t="s">
        <v>1383</v>
      </c>
      <c r="C1315" s="82" t="s">
        <v>31</v>
      </c>
      <c r="D1315" s="82" t="s">
        <v>37</v>
      </c>
      <c r="E1315" s="82" t="s">
        <v>47</v>
      </c>
      <c r="F1315" s="83">
        <v>5</v>
      </c>
      <c r="G1315" s="84">
        <v>136.36000000000001</v>
      </c>
      <c r="H1315" s="85">
        <v>0.03</v>
      </c>
      <c r="I1315" s="86">
        <f t="shared" si="40"/>
        <v>661.346</v>
      </c>
      <c r="J1315" s="86">
        <v>313.63</v>
      </c>
      <c r="K1315" s="86">
        <f t="shared" si="41"/>
        <v>347.71600000000001</v>
      </c>
      <c r="L1315" s="87" t="s">
        <v>67</v>
      </c>
      <c r="M1315" s="87" t="s">
        <v>60</v>
      </c>
      <c r="N1315" s="88" t="s">
        <v>65</v>
      </c>
    </row>
    <row r="1316" spans="1:14">
      <c r="A1316" s="81">
        <v>46281</v>
      </c>
      <c r="B1316" s="82" t="s">
        <v>1384</v>
      </c>
      <c r="C1316" s="82" t="s">
        <v>26</v>
      </c>
      <c r="D1316" s="82" t="s">
        <v>27</v>
      </c>
      <c r="E1316" s="82" t="s">
        <v>30</v>
      </c>
      <c r="F1316" s="83">
        <v>8</v>
      </c>
      <c r="G1316" s="84">
        <v>726.1</v>
      </c>
      <c r="H1316" s="85">
        <v>0.05</v>
      </c>
      <c r="I1316" s="86">
        <f t="shared" si="40"/>
        <v>5518.36</v>
      </c>
      <c r="J1316" s="86">
        <v>3717.63</v>
      </c>
      <c r="K1316" s="86">
        <f t="shared" si="41"/>
        <v>1800.7299999999996</v>
      </c>
      <c r="L1316" s="87" t="s">
        <v>59</v>
      </c>
      <c r="M1316" s="87" t="s">
        <v>60</v>
      </c>
      <c r="N1316" s="88" t="s">
        <v>69</v>
      </c>
    </row>
    <row r="1317" spans="1:14">
      <c r="A1317" s="81">
        <v>46282</v>
      </c>
      <c r="B1317" s="82" t="s">
        <v>1385</v>
      </c>
      <c r="C1317" s="82" t="s">
        <v>26</v>
      </c>
      <c r="D1317" s="82" t="s">
        <v>32</v>
      </c>
      <c r="E1317" s="82" t="s">
        <v>46</v>
      </c>
      <c r="F1317" s="83">
        <v>11</v>
      </c>
      <c r="G1317" s="84">
        <v>111.69</v>
      </c>
      <c r="H1317" s="85">
        <v>0.1</v>
      </c>
      <c r="I1317" s="86">
        <f t="shared" si="40"/>
        <v>1105.731</v>
      </c>
      <c r="J1317" s="86">
        <v>589.72</v>
      </c>
      <c r="K1317" s="86">
        <f t="shared" si="41"/>
        <v>516.01099999999997</v>
      </c>
      <c r="L1317" s="87" t="s">
        <v>63</v>
      </c>
      <c r="M1317" s="87" t="s">
        <v>68</v>
      </c>
      <c r="N1317" s="88" t="s">
        <v>61</v>
      </c>
    </row>
    <row r="1318" spans="1:14">
      <c r="A1318" s="81">
        <v>46282</v>
      </c>
      <c r="B1318" s="82" t="s">
        <v>1386</v>
      </c>
      <c r="C1318" s="82" t="s">
        <v>31</v>
      </c>
      <c r="D1318" s="82" t="s">
        <v>37</v>
      </c>
      <c r="E1318" s="82" t="s">
        <v>47</v>
      </c>
      <c r="F1318" s="83">
        <v>3</v>
      </c>
      <c r="G1318" s="84">
        <v>148.04</v>
      </c>
      <c r="H1318" s="85">
        <v>0.08</v>
      </c>
      <c r="I1318" s="86">
        <f t="shared" si="40"/>
        <v>408.59040000000005</v>
      </c>
      <c r="J1318" s="86">
        <v>204.3</v>
      </c>
      <c r="K1318" s="86">
        <f t="shared" si="41"/>
        <v>204.29040000000003</v>
      </c>
      <c r="L1318" s="87" t="s">
        <v>67</v>
      </c>
      <c r="M1318" s="87" t="s">
        <v>64</v>
      </c>
      <c r="N1318" s="88" t="s">
        <v>65</v>
      </c>
    </row>
    <row r="1319" spans="1:14">
      <c r="A1319" s="81">
        <v>46283</v>
      </c>
      <c r="B1319" s="82" t="s">
        <v>1387</v>
      </c>
      <c r="C1319" s="82" t="s">
        <v>36</v>
      </c>
      <c r="D1319" s="82" t="s">
        <v>37</v>
      </c>
      <c r="E1319" s="82" t="s">
        <v>48</v>
      </c>
      <c r="F1319" s="83">
        <v>5</v>
      </c>
      <c r="G1319" s="84">
        <v>84.35</v>
      </c>
      <c r="H1319" s="85">
        <v>0.08</v>
      </c>
      <c r="I1319" s="86">
        <f t="shared" si="40"/>
        <v>388.01</v>
      </c>
      <c r="J1319" s="86">
        <v>177.14</v>
      </c>
      <c r="K1319" s="86">
        <f t="shared" si="41"/>
        <v>210.87</v>
      </c>
      <c r="L1319" s="87" t="s">
        <v>63</v>
      </c>
      <c r="M1319" s="87" t="s">
        <v>60</v>
      </c>
      <c r="N1319" s="88" t="s">
        <v>78</v>
      </c>
    </row>
    <row r="1320" spans="1:14">
      <c r="A1320" s="81">
        <v>46284</v>
      </c>
      <c r="B1320" s="82" t="s">
        <v>1388</v>
      </c>
      <c r="C1320" s="82" t="s">
        <v>40</v>
      </c>
      <c r="D1320" s="82" t="s">
        <v>32</v>
      </c>
      <c r="E1320" s="82" t="s">
        <v>42</v>
      </c>
      <c r="F1320" s="83">
        <v>5</v>
      </c>
      <c r="G1320" s="84">
        <v>918.24</v>
      </c>
      <c r="H1320" s="85">
        <v>0.08</v>
      </c>
      <c r="I1320" s="86">
        <f t="shared" si="40"/>
        <v>4223.9040000000005</v>
      </c>
      <c r="J1320" s="86">
        <v>2800.63</v>
      </c>
      <c r="K1320" s="86">
        <f t="shared" si="41"/>
        <v>1423.2740000000003</v>
      </c>
      <c r="L1320" s="87" t="s">
        <v>67</v>
      </c>
      <c r="M1320" s="87" t="s">
        <v>68</v>
      </c>
      <c r="N1320" s="88" t="s">
        <v>69</v>
      </c>
    </row>
    <row r="1321" spans="1:14">
      <c r="A1321" s="81">
        <v>46284</v>
      </c>
      <c r="B1321" s="82" t="s">
        <v>1389</v>
      </c>
      <c r="C1321" s="82" t="s">
        <v>40</v>
      </c>
      <c r="D1321" s="82" t="s">
        <v>32</v>
      </c>
      <c r="E1321" s="82" t="s">
        <v>46</v>
      </c>
      <c r="F1321" s="83">
        <v>7</v>
      </c>
      <c r="G1321" s="84">
        <v>115.62</v>
      </c>
      <c r="H1321" s="85">
        <v>0.05</v>
      </c>
      <c r="I1321" s="86">
        <f t="shared" si="40"/>
        <v>768.87300000000005</v>
      </c>
      <c r="J1321" s="86">
        <v>388.48</v>
      </c>
      <c r="K1321" s="86">
        <f t="shared" si="41"/>
        <v>380.39300000000003</v>
      </c>
      <c r="L1321" s="87" t="s">
        <v>63</v>
      </c>
      <c r="M1321" s="87" t="s">
        <v>64</v>
      </c>
      <c r="N1321" s="88" t="s">
        <v>61</v>
      </c>
    </row>
    <row r="1322" spans="1:14">
      <c r="A1322" s="81">
        <v>46285</v>
      </c>
      <c r="B1322" s="82" t="s">
        <v>1390</v>
      </c>
      <c r="C1322" s="82" t="s">
        <v>40</v>
      </c>
      <c r="D1322" s="82" t="s">
        <v>32</v>
      </c>
      <c r="E1322" s="82" t="s">
        <v>39</v>
      </c>
      <c r="F1322" s="83">
        <v>9</v>
      </c>
      <c r="G1322" s="84">
        <v>498.43</v>
      </c>
      <c r="H1322" s="85">
        <v>0.08</v>
      </c>
      <c r="I1322" s="86">
        <f t="shared" si="40"/>
        <v>4127.0003999999999</v>
      </c>
      <c r="J1322" s="86">
        <v>2556.9499999999998</v>
      </c>
      <c r="K1322" s="86">
        <f t="shared" si="41"/>
        <v>1570.0504000000001</v>
      </c>
      <c r="L1322" s="87" t="s">
        <v>59</v>
      </c>
      <c r="M1322" s="87" t="s">
        <v>68</v>
      </c>
      <c r="N1322" s="88" t="s">
        <v>69</v>
      </c>
    </row>
    <row r="1323" spans="1:14">
      <c r="A1323" s="81">
        <v>46285</v>
      </c>
      <c r="B1323" s="82" t="s">
        <v>1391</v>
      </c>
      <c r="C1323" s="82" t="s">
        <v>26</v>
      </c>
      <c r="D1323" s="82" t="s">
        <v>32</v>
      </c>
      <c r="E1323" s="82" t="s">
        <v>39</v>
      </c>
      <c r="F1323" s="83">
        <v>2</v>
      </c>
      <c r="G1323" s="84">
        <v>493.99</v>
      </c>
      <c r="H1323" s="85">
        <v>0.12</v>
      </c>
      <c r="I1323" s="86">
        <f t="shared" si="40"/>
        <v>869.42240000000004</v>
      </c>
      <c r="J1323" s="86">
        <v>563.15</v>
      </c>
      <c r="K1323" s="86">
        <f t="shared" si="41"/>
        <v>306.27240000000006</v>
      </c>
      <c r="L1323" s="87" t="s">
        <v>63</v>
      </c>
      <c r="M1323" s="87" t="s">
        <v>60</v>
      </c>
      <c r="N1323" s="88" t="s">
        <v>78</v>
      </c>
    </row>
    <row r="1324" spans="1:14">
      <c r="A1324" s="81">
        <v>46286</v>
      </c>
      <c r="B1324" s="82" t="s">
        <v>1392</v>
      </c>
      <c r="C1324" s="82" t="s">
        <v>26</v>
      </c>
      <c r="D1324" s="82" t="s">
        <v>32</v>
      </c>
      <c r="E1324" s="82" t="s">
        <v>39</v>
      </c>
      <c r="F1324" s="83">
        <v>11</v>
      </c>
      <c r="G1324" s="84">
        <v>501.94</v>
      </c>
      <c r="H1324" s="85">
        <v>0.1</v>
      </c>
      <c r="I1324" s="86">
        <f t="shared" si="40"/>
        <v>4969.2060000000001</v>
      </c>
      <c r="J1324" s="86">
        <v>3147.16</v>
      </c>
      <c r="K1324" s="86">
        <f t="shared" si="41"/>
        <v>1822.0460000000003</v>
      </c>
      <c r="L1324" s="87" t="s">
        <v>63</v>
      </c>
      <c r="M1324" s="87" t="s">
        <v>68</v>
      </c>
      <c r="N1324" s="88" t="s">
        <v>78</v>
      </c>
    </row>
    <row r="1325" spans="1:14">
      <c r="A1325" s="81">
        <v>46288</v>
      </c>
      <c r="B1325" s="82" t="s">
        <v>1393</v>
      </c>
      <c r="C1325" s="82" t="s">
        <v>26</v>
      </c>
      <c r="D1325" s="82" t="s">
        <v>32</v>
      </c>
      <c r="E1325" s="82" t="s">
        <v>46</v>
      </c>
      <c r="F1325" s="83">
        <v>3</v>
      </c>
      <c r="G1325" s="84">
        <v>116.86</v>
      </c>
      <c r="H1325" s="85">
        <v>0</v>
      </c>
      <c r="I1325" s="86">
        <f t="shared" si="40"/>
        <v>350.58</v>
      </c>
      <c r="J1325" s="86">
        <v>168.28</v>
      </c>
      <c r="K1325" s="86">
        <f t="shared" si="41"/>
        <v>182.29999999999998</v>
      </c>
      <c r="L1325" s="87" t="s">
        <v>59</v>
      </c>
      <c r="M1325" s="87" t="s">
        <v>64</v>
      </c>
      <c r="N1325" s="88" t="s">
        <v>61</v>
      </c>
    </row>
    <row r="1326" spans="1:14">
      <c r="A1326" s="81">
        <v>46289</v>
      </c>
      <c r="B1326" s="82" t="s">
        <v>1394</v>
      </c>
      <c r="C1326" s="82" t="s">
        <v>26</v>
      </c>
      <c r="D1326" s="82" t="s">
        <v>32</v>
      </c>
      <c r="E1326" s="82" t="s">
        <v>46</v>
      </c>
      <c r="F1326" s="83">
        <v>2</v>
      </c>
      <c r="G1326" s="84">
        <v>111.03</v>
      </c>
      <c r="H1326" s="85">
        <v>0.03</v>
      </c>
      <c r="I1326" s="86">
        <f t="shared" si="40"/>
        <v>215.3982</v>
      </c>
      <c r="J1326" s="86">
        <v>106.59</v>
      </c>
      <c r="K1326" s="86">
        <f t="shared" si="41"/>
        <v>108.8082</v>
      </c>
      <c r="L1326" s="87" t="s">
        <v>63</v>
      </c>
      <c r="M1326" s="87" t="s">
        <v>64</v>
      </c>
      <c r="N1326" s="88" t="s">
        <v>71</v>
      </c>
    </row>
    <row r="1327" spans="1:14">
      <c r="A1327" s="81">
        <v>46289</v>
      </c>
      <c r="B1327" s="82" t="s">
        <v>1395</v>
      </c>
      <c r="C1327" s="82" t="s">
        <v>26</v>
      </c>
      <c r="D1327" s="82" t="s">
        <v>32</v>
      </c>
      <c r="E1327" s="82" t="s">
        <v>46</v>
      </c>
      <c r="F1327" s="83">
        <v>2</v>
      </c>
      <c r="G1327" s="84">
        <v>116.91</v>
      </c>
      <c r="H1327" s="85">
        <v>0.1</v>
      </c>
      <c r="I1327" s="86">
        <f t="shared" si="40"/>
        <v>210.43799999999999</v>
      </c>
      <c r="J1327" s="86">
        <v>112.23</v>
      </c>
      <c r="K1327" s="86">
        <f t="shared" si="41"/>
        <v>98.207999999999984</v>
      </c>
      <c r="L1327" s="87" t="s">
        <v>63</v>
      </c>
      <c r="M1327" s="87" t="s">
        <v>60</v>
      </c>
      <c r="N1327" s="88" t="s">
        <v>74</v>
      </c>
    </row>
    <row r="1328" spans="1:14">
      <c r="A1328" s="81">
        <v>46291</v>
      </c>
      <c r="B1328" s="82" t="s">
        <v>1396</v>
      </c>
      <c r="C1328" s="82" t="s">
        <v>36</v>
      </c>
      <c r="D1328" s="82" t="s">
        <v>37</v>
      </c>
      <c r="E1328" s="82" t="s">
        <v>47</v>
      </c>
      <c r="F1328" s="83">
        <v>2</v>
      </c>
      <c r="G1328" s="84">
        <v>139.1</v>
      </c>
      <c r="H1328" s="85">
        <v>0.05</v>
      </c>
      <c r="I1328" s="86">
        <f t="shared" si="40"/>
        <v>264.28999999999996</v>
      </c>
      <c r="J1328" s="86">
        <v>127.97</v>
      </c>
      <c r="K1328" s="86">
        <f t="shared" si="41"/>
        <v>136.31999999999996</v>
      </c>
      <c r="L1328" s="87" t="s">
        <v>63</v>
      </c>
      <c r="M1328" s="87" t="s">
        <v>60</v>
      </c>
      <c r="N1328" s="88" t="s">
        <v>65</v>
      </c>
    </row>
    <row r="1329" spans="1:14">
      <c r="A1329" s="81">
        <v>46292</v>
      </c>
      <c r="B1329" s="82" t="s">
        <v>1397</v>
      </c>
      <c r="C1329" s="82" t="s">
        <v>31</v>
      </c>
      <c r="D1329" s="82" t="s">
        <v>27</v>
      </c>
      <c r="E1329" s="82" t="s">
        <v>30</v>
      </c>
      <c r="F1329" s="83">
        <v>3</v>
      </c>
      <c r="G1329" s="84">
        <v>771.97</v>
      </c>
      <c r="H1329" s="85">
        <v>0.08</v>
      </c>
      <c r="I1329" s="86">
        <f t="shared" si="40"/>
        <v>2130.6372000000001</v>
      </c>
      <c r="J1329" s="86">
        <v>1482.18</v>
      </c>
      <c r="K1329" s="86">
        <f t="shared" si="41"/>
        <v>648.45720000000006</v>
      </c>
      <c r="L1329" s="87" t="s">
        <v>67</v>
      </c>
      <c r="M1329" s="87" t="s">
        <v>60</v>
      </c>
      <c r="N1329" s="88" t="s">
        <v>71</v>
      </c>
    </row>
    <row r="1330" spans="1:14">
      <c r="A1330" s="81">
        <v>46293</v>
      </c>
      <c r="B1330" s="82" t="s">
        <v>1398</v>
      </c>
      <c r="C1330" s="82" t="s">
        <v>40</v>
      </c>
      <c r="D1330" s="82" t="s">
        <v>27</v>
      </c>
      <c r="E1330" s="82" t="s">
        <v>25</v>
      </c>
      <c r="F1330" s="83">
        <v>8</v>
      </c>
      <c r="G1330" s="84">
        <v>1376.4</v>
      </c>
      <c r="H1330" s="85">
        <v>0.05</v>
      </c>
      <c r="I1330" s="86">
        <f t="shared" si="40"/>
        <v>10460.64</v>
      </c>
      <c r="J1330" s="86">
        <v>7487.62</v>
      </c>
      <c r="K1330" s="86">
        <f t="shared" si="41"/>
        <v>2973.0199999999995</v>
      </c>
      <c r="L1330" s="87" t="s">
        <v>59</v>
      </c>
      <c r="M1330" s="87" t="s">
        <v>68</v>
      </c>
      <c r="N1330" s="88" t="s">
        <v>74</v>
      </c>
    </row>
    <row r="1331" spans="1:14">
      <c r="A1331" s="81">
        <v>46293</v>
      </c>
      <c r="B1331" s="82" t="s">
        <v>1399</v>
      </c>
      <c r="C1331" s="82" t="s">
        <v>40</v>
      </c>
      <c r="D1331" s="82" t="s">
        <v>37</v>
      </c>
      <c r="E1331" s="82" t="s">
        <v>47</v>
      </c>
      <c r="F1331" s="83">
        <v>8</v>
      </c>
      <c r="G1331" s="84">
        <v>137.34</v>
      </c>
      <c r="H1331" s="85">
        <v>0.05</v>
      </c>
      <c r="I1331" s="86">
        <f t="shared" si="40"/>
        <v>1043.7839999999999</v>
      </c>
      <c r="J1331" s="86">
        <v>505.41</v>
      </c>
      <c r="K1331" s="86">
        <f t="shared" si="41"/>
        <v>538.3739999999998</v>
      </c>
      <c r="L1331" s="87" t="s">
        <v>59</v>
      </c>
      <c r="M1331" s="87" t="s">
        <v>64</v>
      </c>
      <c r="N1331" s="88" t="s">
        <v>65</v>
      </c>
    </row>
    <row r="1332" spans="1:14">
      <c r="A1332" s="81">
        <v>46298</v>
      </c>
      <c r="B1332" s="82" t="s">
        <v>1400</v>
      </c>
      <c r="C1332" s="82" t="s">
        <v>26</v>
      </c>
      <c r="D1332" s="82" t="s">
        <v>27</v>
      </c>
      <c r="E1332" s="82" t="s">
        <v>35</v>
      </c>
      <c r="F1332" s="83">
        <v>1</v>
      </c>
      <c r="G1332" s="84">
        <v>433.02</v>
      </c>
      <c r="H1332" s="85">
        <v>0.12</v>
      </c>
      <c r="I1332" s="86">
        <f t="shared" si="40"/>
        <v>381.05759999999998</v>
      </c>
      <c r="J1332" s="86">
        <v>259.81</v>
      </c>
      <c r="K1332" s="86">
        <f t="shared" si="41"/>
        <v>121.24759999999998</v>
      </c>
      <c r="L1332" s="87" t="s">
        <v>63</v>
      </c>
      <c r="M1332" s="87" t="s">
        <v>64</v>
      </c>
      <c r="N1332" s="88" t="s">
        <v>74</v>
      </c>
    </row>
    <row r="1333" spans="1:14">
      <c r="A1333" s="81">
        <v>46298</v>
      </c>
      <c r="B1333" s="82" t="s">
        <v>1401</v>
      </c>
      <c r="C1333" s="82" t="s">
        <v>36</v>
      </c>
      <c r="D1333" s="82" t="s">
        <v>27</v>
      </c>
      <c r="E1333" s="82" t="s">
        <v>30</v>
      </c>
      <c r="F1333" s="83">
        <v>3</v>
      </c>
      <c r="G1333" s="84">
        <v>723.59</v>
      </c>
      <c r="H1333" s="85">
        <v>0.1</v>
      </c>
      <c r="I1333" s="86">
        <f t="shared" si="40"/>
        <v>1953.693</v>
      </c>
      <c r="J1333" s="86">
        <v>1389.29</v>
      </c>
      <c r="K1333" s="86">
        <f t="shared" si="41"/>
        <v>564.40300000000002</v>
      </c>
      <c r="L1333" s="87" t="s">
        <v>63</v>
      </c>
      <c r="M1333" s="87" t="s">
        <v>64</v>
      </c>
      <c r="N1333" s="88" t="s">
        <v>65</v>
      </c>
    </row>
    <row r="1334" spans="1:14">
      <c r="A1334" s="81">
        <v>46299</v>
      </c>
      <c r="B1334" s="82" t="s">
        <v>1402</v>
      </c>
      <c r="C1334" s="82" t="s">
        <v>26</v>
      </c>
      <c r="D1334" s="82" t="s">
        <v>32</v>
      </c>
      <c r="E1334" s="82" t="s">
        <v>42</v>
      </c>
      <c r="F1334" s="83">
        <v>5</v>
      </c>
      <c r="G1334" s="84">
        <v>870.06</v>
      </c>
      <c r="H1334" s="85">
        <v>0.08</v>
      </c>
      <c r="I1334" s="86">
        <f t="shared" si="40"/>
        <v>4002.2759999999994</v>
      </c>
      <c r="J1334" s="86">
        <v>2653.68</v>
      </c>
      <c r="K1334" s="86">
        <f t="shared" si="41"/>
        <v>1348.5959999999995</v>
      </c>
      <c r="L1334" s="87" t="s">
        <v>67</v>
      </c>
      <c r="M1334" s="87" t="s">
        <v>64</v>
      </c>
      <c r="N1334" s="88" t="s">
        <v>71</v>
      </c>
    </row>
    <row r="1335" spans="1:14">
      <c r="A1335" s="81">
        <v>46300</v>
      </c>
      <c r="B1335" s="82" t="s">
        <v>1403</v>
      </c>
      <c r="C1335" s="82" t="s">
        <v>26</v>
      </c>
      <c r="D1335" s="82" t="s">
        <v>32</v>
      </c>
      <c r="E1335" s="82" t="s">
        <v>39</v>
      </c>
      <c r="F1335" s="83">
        <v>11</v>
      </c>
      <c r="G1335" s="84">
        <v>504.02</v>
      </c>
      <c r="H1335" s="85">
        <v>0.1</v>
      </c>
      <c r="I1335" s="86">
        <f t="shared" si="40"/>
        <v>4989.7979999999998</v>
      </c>
      <c r="J1335" s="86">
        <v>3160.21</v>
      </c>
      <c r="K1335" s="86">
        <f t="shared" si="41"/>
        <v>1829.5879999999997</v>
      </c>
      <c r="L1335" s="87" t="s">
        <v>59</v>
      </c>
      <c r="M1335" s="87" t="s">
        <v>68</v>
      </c>
      <c r="N1335" s="88" t="s">
        <v>71</v>
      </c>
    </row>
    <row r="1336" spans="1:14">
      <c r="A1336" s="81">
        <v>46301</v>
      </c>
      <c r="B1336" s="82" t="s">
        <v>1404</v>
      </c>
      <c r="C1336" s="82" t="s">
        <v>36</v>
      </c>
      <c r="D1336" s="82" t="s">
        <v>27</v>
      </c>
      <c r="E1336" s="82" t="s">
        <v>25</v>
      </c>
      <c r="F1336" s="83">
        <v>4</v>
      </c>
      <c r="G1336" s="84">
        <v>1394.25</v>
      </c>
      <c r="H1336" s="85">
        <v>0.08</v>
      </c>
      <c r="I1336" s="86">
        <f t="shared" si="40"/>
        <v>5130.84</v>
      </c>
      <c r="J1336" s="86">
        <v>3792.36</v>
      </c>
      <c r="K1336" s="86">
        <f t="shared" si="41"/>
        <v>1338.48</v>
      </c>
      <c r="L1336" s="87" t="s">
        <v>59</v>
      </c>
      <c r="M1336" s="87" t="s">
        <v>64</v>
      </c>
      <c r="N1336" s="88" t="s">
        <v>78</v>
      </c>
    </row>
    <row r="1337" spans="1:14">
      <c r="A1337" s="81">
        <v>46302</v>
      </c>
      <c r="B1337" s="82" t="s">
        <v>1405</v>
      </c>
      <c r="C1337" s="82" t="s">
        <v>26</v>
      </c>
      <c r="D1337" s="82" t="s">
        <v>32</v>
      </c>
      <c r="E1337" s="82" t="s">
        <v>39</v>
      </c>
      <c r="F1337" s="83">
        <v>7</v>
      </c>
      <c r="G1337" s="84">
        <v>505.93</v>
      </c>
      <c r="H1337" s="85">
        <v>0.12</v>
      </c>
      <c r="I1337" s="86">
        <f t="shared" si="40"/>
        <v>3116.5288</v>
      </c>
      <c r="J1337" s="86">
        <v>2018.66</v>
      </c>
      <c r="K1337" s="86">
        <f t="shared" si="41"/>
        <v>1097.8688</v>
      </c>
      <c r="L1337" s="87" t="s">
        <v>59</v>
      </c>
      <c r="M1337" s="87" t="s">
        <v>68</v>
      </c>
      <c r="N1337" s="88" t="s">
        <v>61</v>
      </c>
    </row>
    <row r="1338" spans="1:14">
      <c r="A1338" s="81">
        <v>46303</v>
      </c>
      <c r="B1338" s="82" t="s">
        <v>1406</v>
      </c>
      <c r="C1338" s="82" t="s">
        <v>31</v>
      </c>
      <c r="D1338" s="82" t="s">
        <v>32</v>
      </c>
      <c r="E1338" s="82" t="s">
        <v>46</v>
      </c>
      <c r="F1338" s="83">
        <v>7</v>
      </c>
      <c r="G1338" s="84">
        <v>108.02</v>
      </c>
      <c r="H1338" s="85">
        <v>0.03</v>
      </c>
      <c r="I1338" s="86">
        <f t="shared" si="40"/>
        <v>733.45579999999995</v>
      </c>
      <c r="J1338" s="86">
        <v>362.95</v>
      </c>
      <c r="K1338" s="86">
        <f t="shared" si="41"/>
        <v>370.50579999999997</v>
      </c>
      <c r="L1338" s="87" t="s">
        <v>59</v>
      </c>
      <c r="M1338" s="87" t="s">
        <v>60</v>
      </c>
      <c r="N1338" s="88" t="s">
        <v>69</v>
      </c>
    </row>
    <row r="1339" spans="1:14">
      <c r="A1339" s="81">
        <v>46305</v>
      </c>
      <c r="B1339" s="82" t="s">
        <v>1407</v>
      </c>
      <c r="C1339" s="82" t="s">
        <v>36</v>
      </c>
      <c r="D1339" s="82" t="s">
        <v>27</v>
      </c>
      <c r="E1339" s="82" t="s">
        <v>30</v>
      </c>
      <c r="F1339" s="83">
        <v>12</v>
      </c>
      <c r="G1339" s="84">
        <v>763.71</v>
      </c>
      <c r="H1339" s="85">
        <v>0.1</v>
      </c>
      <c r="I1339" s="86">
        <f t="shared" si="40"/>
        <v>8248.0680000000011</v>
      </c>
      <c r="J1339" s="86">
        <v>5865.29</v>
      </c>
      <c r="K1339" s="86">
        <f t="shared" si="41"/>
        <v>2382.7780000000012</v>
      </c>
      <c r="L1339" s="87" t="s">
        <v>59</v>
      </c>
      <c r="M1339" s="87" t="s">
        <v>68</v>
      </c>
      <c r="N1339" s="88" t="s">
        <v>61</v>
      </c>
    </row>
    <row r="1340" spans="1:14">
      <c r="A1340" s="81">
        <v>46305</v>
      </c>
      <c r="B1340" s="82" t="s">
        <v>1408</v>
      </c>
      <c r="C1340" s="82" t="s">
        <v>40</v>
      </c>
      <c r="D1340" s="82" t="s">
        <v>37</v>
      </c>
      <c r="E1340" s="82" t="s">
        <v>48</v>
      </c>
      <c r="F1340" s="83">
        <v>8</v>
      </c>
      <c r="G1340" s="84">
        <v>82.37</v>
      </c>
      <c r="H1340" s="85">
        <v>0.1</v>
      </c>
      <c r="I1340" s="86">
        <f t="shared" si="40"/>
        <v>593.06400000000008</v>
      </c>
      <c r="J1340" s="86">
        <v>276.76</v>
      </c>
      <c r="K1340" s="86">
        <f t="shared" si="41"/>
        <v>316.30400000000009</v>
      </c>
      <c r="L1340" s="87" t="s">
        <v>59</v>
      </c>
      <c r="M1340" s="87" t="s">
        <v>68</v>
      </c>
      <c r="N1340" s="88" t="s">
        <v>65</v>
      </c>
    </row>
    <row r="1341" spans="1:14">
      <c r="A1341" s="81">
        <v>46306</v>
      </c>
      <c r="B1341" s="82" t="s">
        <v>1409</v>
      </c>
      <c r="C1341" s="82" t="s">
        <v>40</v>
      </c>
      <c r="D1341" s="82" t="s">
        <v>32</v>
      </c>
      <c r="E1341" s="82" t="s">
        <v>46</v>
      </c>
      <c r="F1341" s="83">
        <v>3</v>
      </c>
      <c r="G1341" s="84">
        <v>117.77</v>
      </c>
      <c r="H1341" s="85">
        <v>0.03</v>
      </c>
      <c r="I1341" s="86">
        <f t="shared" si="40"/>
        <v>342.71069999999997</v>
      </c>
      <c r="J1341" s="86">
        <v>169.59</v>
      </c>
      <c r="K1341" s="86">
        <f t="shared" si="41"/>
        <v>173.12069999999997</v>
      </c>
      <c r="L1341" s="87" t="s">
        <v>67</v>
      </c>
      <c r="M1341" s="87" t="s">
        <v>60</v>
      </c>
      <c r="N1341" s="88" t="s">
        <v>65</v>
      </c>
    </row>
    <row r="1342" spans="1:14">
      <c r="A1342" s="81">
        <v>46307</v>
      </c>
      <c r="B1342" s="82" t="s">
        <v>1410</v>
      </c>
      <c r="C1342" s="82" t="s">
        <v>36</v>
      </c>
      <c r="D1342" s="82" t="s">
        <v>37</v>
      </c>
      <c r="E1342" s="82" t="s">
        <v>48</v>
      </c>
      <c r="F1342" s="83">
        <v>6</v>
      </c>
      <c r="G1342" s="84">
        <v>82.72</v>
      </c>
      <c r="H1342" s="85">
        <v>0.03</v>
      </c>
      <c r="I1342" s="86">
        <f t="shared" si="40"/>
        <v>481.43039999999996</v>
      </c>
      <c r="J1342" s="86">
        <v>208.45</v>
      </c>
      <c r="K1342" s="86">
        <f t="shared" si="41"/>
        <v>272.98039999999997</v>
      </c>
      <c r="L1342" s="87" t="s">
        <v>59</v>
      </c>
      <c r="M1342" s="87" t="s">
        <v>64</v>
      </c>
      <c r="N1342" s="88" t="s">
        <v>78</v>
      </c>
    </row>
    <row r="1343" spans="1:14">
      <c r="A1343" s="81">
        <v>46308</v>
      </c>
      <c r="B1343" s="82" t="s">
        <v>1411</v>
      </c>
      <c r="C1343" s="82" t="s">
        <v>31</v>
      </c>
      <c r="D1343" s="82" t="s">
        <v>32</v>
      </c>
      <c r="E1343" s="82" t="s">
        <v>42</v>
      </c>
      <c r="F1343" s="83">
        <v>5</v>
      </c>
      <c r="G1343" s="84">
        <v>924.92</v>
      </c>
      <c r="H1343" s="85">
        <v>0.1</v>
      </c>
      <c r="I1343" s="86">
        <f t="shared" si="40"/>
        <v>4162.1399999999994</v>
      </c>
      <c r="J1343" s="86">
        <v>2821.01</v>
      </c>
      <c r="K1343" s="86">
        <f t="shared" si="41"/>
        <v>1341.1299999999992</v>
      </c>
      <c r="L1343" s="87" t="s">
        <v>63</v>
      </c>
      <c r="M1343" s="87" t="s">
        <v>60</v>
      </c>
      <c r="N1343" s="88" t="s">
        <v>74</v>
      </c>
    </row>
    <row r="1344" spans="1:14">
      <c r="A1344" s="81">
        <v>46309</v>
      </c>
      <c r="B1344" s="82" t="s">
        <v>1412</v>
      </c>
      <c r="C1344" s="82" t="s">
        <v>31</v>
      </c>
      <c r="D1344" s="82" t="s">
        <v>27</v>
      </c>
      <c r="E1344" s="82" t="s">
        <v>30</v>
      </c>
      <c r="F1344" s="83">
        <v>9</v>
      </c>
      <c r="G1344" s="84">
        <v>751.05</v>
      </c>
      <c r="H1344" s="85">
        <v>0.08</v>
      </c>
      <c r="I1344" s="86">
        <f t="shared" si="40"/>
        <v>6218.6940000000004</v>
      </c>
      <c r="J1344" s="86">
        <v>4326.05</v>
      </c>
      <c r="K1344" s="86">
        <f t="shared" si="41"/>
        <v>1892.6440000000002</v>
      </c>
      <c r="L1344" s="87" t="s">
        <v>63</v>
      </c>
      <c r="M1344" s="87" t="s">
        <v>60</v>
      </c>
      <c r="N1344" s="88" t="s">
        <v>78</v>
      </c>
    </row>
    <row r="1345" spans="1:14">
      <c r="A1345" s="81">
        <v>46311</v>
      </c>
      <c r="B1345" s="82" t="s">
        <v>1413</v>
      </c>
      <c r="C1345" s="82" t="s">
        <v>40</v>
      </c>
      <c r="D1345" s="82" t="s">
        <v>37</v>
      </c>
      <c r="E1345" s="82" t="s">
        <v>48</v>
      </c>
      <c r="F1345" s="83">
        <v>5</v>
      </c>
      <c r="G1345" s="84">
        <v>78.69</v>
      </c>
      <c r="H1345" s="85">
        <v>0.03</v>
      </c>
      <c r="I1345" s="86">
        <f t="shared" si="40"/>
        <v>381.6465</v>
      </c>
      <c r="J1345" s="86">
        <v>165.25</v>
      </c>
      <c r="K1345" s="86">
        <f t="shared" si="41"/>
        <v>216.3965</v>
      </c>
      <c r="L1345" s="87" t="s">
        <v>63</v>
      </c>
      <c r="M1345" s="87" t="s">
        <v>60</v>
      </c>
      <c r="N1345" s="88" t="s">
        <v>71</v>
      </c>
    </row>
    <row r="1346" spans="1:14">
      <c r="A1346" s="81">
        <v>46312</v>
      </c>
      <c r="B1346" s="82" t="s">
        <v>1414</v>
      </c>
      <c r="C1346" s="82" t="s">
        <v>26</v>
      </c>
      <c r="D1346" s="82" t="s">
        <v>37</v>
      </c>
      <c r="E1346" s="82" t="s">
        <v>48</v>
      </c>
      <c r="F1346" s="83">
        <v>10</v>
      </c>
      <c r="G1346" s="84">
        <v>81.67</v>
      </c>
      <c r="H1346" s="85">
        <v>0.12</v>
      </c>
      <c r="I1346" s="86">
        <f t="shared" ref="I1346:I1409" si="42">F1346*G1346*(1-H1346)</f>
        <v>718.69600000000003</v>
      </c>
      <c r="J1346" s="86">
        <v>343.01</v>
      </c>
      <c r="K1346" s="86">
        <f t="shared" ref="K1346:K1409" si="43">I1346-J1346</f>
        <v>375.68600000000004</v>
      </c>
      <c r="L1346" s="87" t="s">
        <v>67</v>
      </c>
      <c r="M1346" s="87" t="s">
        <v>64</v>
      </c>
      <c r="N1346" s="88" t="s">
        <v>65</v>
      </c>
    </row>
    <row r="1347" spans="1:14">
      <c r="A1347" s="81">
        <v>46313</v>
      </c>
      <c r="B1347" s="82" t="s">
        <v>1415</v>
      </c>
      <c r="C1347" s="82" t="s">
        <v>26</v>
      </c>
      <c r="D1347" s="82" t="s">
        <v>32</v>
      </c>
      <c r="E1347" s="82" t="s">
        <v>46</v>
      </c>
      <c r="F1347" s="83">
        <v>7</v>
      </c>
      <c r="G1347" s="84">
        <v>110.17</v>
      </c>
      <c r="H1347" s="85">
        <v>0.08</v>
      </c>
      <c r="I1347" s="86">
        <f t="shared" si="42"/>
        <v>709.49480000000005</v>
      </c>
      <c r="J1347" s="86">
        <v>370.17</v>
      </c>
      <c r="K1347" s="86">
        <f t="shared" si="43"/>
        <v>339.32480000000004</v>
      </c>
      <c r="L1347" s="87" t="s">
        <v>67</v>
      </c>
      <c r="M1347" s="87" t="s">
        <v>68</v>
      </c>
      <c r="N1347" s="88" t="s">
        <v>74</v>
      </c>
    </row>
    <row r="1348" spans="1:14">
      <c r="A1348" s="81">
        <v>46313</v>
      </c>
      <c r="B1348" s="82" t="s">
        <v>1416</v>
      </c>
      <c r="C1348" s="82" t="s">
        <v>40</v>
      </c>
      <c r="D1348" s="82" t="s">
        <v>32</v>
      </c>
      <c r="E1348" s="82" t="s">
        <v>39</v>
      </c>
      <c r="F1348" s="83">
        <v>9</v>
      </c>
      <c r="G1348" s="84">
        <v>502.41</v>
      </c>
      <c r="H1348" s="85">
        <v>0.12</v>
      </c>
      <c r="I1348" s="86">
        <f t="shared" si="42"/>
        <v>3979.0872000000004</v>
      </c>
      <c r="J1348" s="86">
        <v>2577.36</v>
      </c>
      <c r="K1348" s="86">
        <f t="shared" si="43"/>
        <v>1401.7272000000003</v>
      </c>
      <c r="L1348" s="87" t="s">
        <v>59</v>
      </c>
      <c r="M1348" s="87" t="s">
        <v>64</v>
      </c>
      <c r="N1348" s="88" t="s">
        <v>71</v>
      </c>
    </row>
    <row r="1349" spans="1:14">
      <c r="A1349" s="81">
        <v>46313</v>
      </c>
      <c r="B1349" s="82" t="s">
        <v>1417</v>
      </c>
      <c r="C1349" s="82" t="s">
        <v>26</v>
      </c>
      <c r="D1349" s="82" t="s">
        <v>27</v>
      </c>
      <c r="E1349" s="82" t="s">
        <v>30</v>
      </c>
      <c r="F1349" s="83">
        <v>3</v>
      </c>
      <c r="G1349" s="84">
        <v>728.99</v>
      </c>
      <c r="H1349" s="85">
        <v>0.08</v>
      </c>
      <c r="I1349" s="86">
        <f t="shared" si="42"/>
        <v>2012.0124000000003</v>
      </c>
      <c r="J1349" s="86">
        <v>1399.66</v>
      </c>
      <c r="K1349" s="86">
        <f t="shared" si="43"/>
        <v>612.35240000000022</v>
      </c>
      <c r="L1349" s="87" t="s">
        <v>63</v>
      </c>
      <c r="M1349" s="87" t="s">
        <v>64</v>
      </c>
      <c r="N1349" s="88" t="s">
        <v>74</v>
      </c>
    </row>
    <row r="1350" spans="1:14">
      <c r="A1350" s="81">
        <v>46313</v>
      </c>
      <c r="B1350" s="82" t="s">
        <v>1418</v>
      </c>
      <c r="C1350" s="82" t="s">
        <v>36</v>
      </c>
      <c r="D1350" s="82" t="s">
        <v>32</v>
      </c>
      <c r="E1350" s="82" t="s">
        <v>39</v>
      </c>
      <c r="F1350" s="83">
        <v>11</v>
      </c>
      <c r="G1350" s="84">
        <v>494.33</v>
      </c>
      <c r="H1350" s="85">
        <v>0.05</v>
      </c>
      <c r="I1350" s="86">
        <f t="shared" si="42"/>
        <v>5165.7484999999997</v>
      </c>
      <c r="J1350" s="86">
        <v>3099.45</v>
      </c>
      <c r="K1350" s="86">
        <f t="shared" si="43"/>
        <v>2066.2984999999999</v>
      </c>
      <c r="L1350" s="87" t="s">
        <v>67</v>
      </c>
      <c r="M1350" s="87" t="s">
        <v>60</v>
      </c>
      <c r="N1350" s="88" t="s">
        <v>71</v>
      </c>
    </row>
    <row r="1351" spans="1:14">
      <c r="A1351" s="81">
        <v>46314</v>
      </c>
      <c r="B1351" s="82" t="s">
        <v>1419</v>
      </c>
      <c r="C1351" s="82" t="s">
        <v>36</v>
      </c>
      <c r="D1351" s="82" t="s">
        <v>32</v>
      </c>
      <c r="E1351" s="82" t="s">
        <v>46</v>
      </c>
      <c r="F1351" s="83">
        <v>4</v>
      </c>
      <c r="G1351" s="84">
        <v>115.53</v>
      </c>
      <c r="H1351" s="85">
        <v>0.08</v>
      </c>
      <c r="I1351" s="86">
        <f t="shared" si="42"/>
        <v>425.15040000000005</v>
      </c>
      <c r="J1351" s="86">
        <v>221.82</v>
      </c>
      <c r="K1351" s="86">
        <f t="shared" si="43"/>
        <v>203.33040000000005</v>
      </c>
      <c r="L1351" s="87" t="s">
        <v>59</v>
      </c>
      <c r="M1351" s="87" t="s">
        <v>60</v>
      </c>
      <c r="N1351" s="88" t="s">
        <v>71</v>
      </c>
    </row>
    <row r="1352" spans="1:14">
      <c r="A1352" s="81">
        <v>46314</v>
      </c>
      <c r="B1352" s="82" t="s">
        <v>1420</v>
      </c>
      <c r="C1352" s="82" t="s">
        <v>31</v>
      </c>
      <c r="D1352" s="82" t="s">
        <v>27</v>
      </c>
      <c r="E1352" s="82" t="s">
        <v>25</v>
      </c>
      <c r="F1352" s="83">
        <v>9</v>
      </c>
      <c r="G1352" s="84">
        <v>1445.32</v>
      </c>
      <c r="H1352" s="85">
        <v>0.1</v>
      </c>
      <c r="I1352" s="86">
        <f t="shared" si="42"/>
        <v>11707.091999999999</v>
      </c>
      <c r="J1352" s="86">
        <v>8845.36</v>
      </c>
      <c r="K1352" s="86">
        <f t="shared" si="43"/>
        <v>2861.7319999999982</v>
      </c>
      <c r="L1352" s="87" t="s">
        <v>59</v>
      </c>
      <c r="M1352" s="87" t="s">
        <v>60</v>
      </c>
      <c r="N1352" s="88" t="s">
        <v>65</v>
      </c>
    </row>
    <row r="1353" spans="1:14">
      <c r="A1353" s="81">
        <v>46315</v>
      </c>
      <c r="B1353" s="82" t="s">
        <v>1421</v>
      </c>
      <c r="C1353" s="82" t="s">
        <v>26</v>
      </c>
      <c r="D1353" s="82" t="s">
        <v>32</v>
      </c>
      <c r="E1353" s="82" t="s">
        <v>39</v>
      </c>
      <c r="F1353" s="83">
        <v>3</v>
      </c>
      <c r="G1353" s="84">
        <v>492.03</v>
      </c>
      <c r="H1353" s="85">
        <v>0.05</v>
      </c>
      <c r="I1353" s="86">
        <f t="shared" si="42"/>
        <v>1402.2855</v>
      </c>
      <c r="J1353" s="86">
        <v>841.37</v>
      </c>
      <c r="K1353" s="86">
        <f t="shared" si="43"/>
        <v>560.91549999999995</v>
      </c>
      <c r="L1353" s="87" t="s">
        <v>59</v>
      </c>
      <c r="M1353" s="87" t="s">
        <v>64</v>
      </c>
      <c r="N1353" s="88" t="s">
        <v>78</v>
      </c>
    </row>
    <row r="1354" spans="1:14">
      <c r="A1354" s="81">
        <v>46315</v>
      </c>
      <c r="B1354" s="82" t="s">
        <v>1422</v>
      </c>
      <c r="C1354" s="82" t="s">
        <v>40</v>
      </c>
      <c r="D1354" s="82" t="s">
        <v>37</v>
      </c>
      <c r="E1354" s="82" t="s">
        <v>48</v>
      </c>
      <c r="F1354" s="83">
        <v>3</v>
      </c>
      <c r="G1354" s="84">
        <v>80.14</v>
      </c>
      <c r="H1354" s="85">
        <v>0.12</v>
      </c>
      <c r="I1354" s="86">
        <f t="shared" si="42"/>
        <v>211.56960000000001</v>
      </c>
      <c r="J1354" s="86">
        <v>100.98</v>
      </c>
      <c r="K1354" s="86">
        <f t="shared" si="43"/>
        <v>110.5896</v>
      </c>
      <c r="L1354" s="87" t="s">
        <v>59</v>
      </c>
      <c r="M1354" s="87" t="s">
        <v>60</v>
      </c>
      <c r="N1354" s="88" t="s">
        <v>65</v>
      </c>
    </row>
    <row r="1355" spans="1:14">
      <c r="A1355" s="81">
        <v>46316</v>
      </c>
      <c r="B1355" s="82" t="s">
        <v>1423</v>
      </c>
      <c r="C1355" s="82" t="s">
        <v>40</v>
      </c>
      <c r="D1355" s="82" t="s">
        <v>27</v>
      </c>
      <c r="E1355" s="82" t="s">
        <v>30</v>
      </c>
      <c r="F1355" s="83">
        <v>10</v>
      </c>
      <c r="G1355" s="84">
        <v>757.09</v>
      </c>
      <c r="H1355" s="85">
        <v>0.03</v>
      </c>
      <c r="I1355" s="86">
        <f t="shared" si="42"/>
        <v>7343.7730000000001</v>
      </c>
      <c r="J1355" s="86">
        <v>4845.38</v>
      </c>
      <c r="K1355" s="86">
        <f t="shared" si="43"/>
        <v>2498.393</v>
      </c>
      <c r="L1355" s="87" t="s">
        <v>59</v>
      </c>
      <c r="M1355" s="87" t="s">
        <v>60</v>
      </c>
      <c r="N1355" s="88" t="s">
        <v>71</v>
      </c>
    </row>
    <row r="1356" spans="1:14">
      <c r="A1356" s="81">
        <v>46318</v>
      </c>
      <c r="B1356" s="82" t="s">
        <v>1424</v>
      </c>
      <c r="C1356" s="82" t="s">
        <v>36</v>
      </c>
      <c r="D1356" s="82" t="s">
        <v>27</v>
      </c>
      <c r="E1356" s="82" t="s">
        <v>35</v>
      </c>
      <c r="F1356" s="83">
        <v>3</v>
      </c>
      <c r="G1356" s="84">
        <v>450.07</v>
      </c>
      <c r="H1356" s="85">
        <v>0.12</v>
      </c>
      <c r="I1356" s="86">
        <f t="shared" si="42"/>
        <v>1188.1848</v>
      </c>
      <c r="J1356" s="86">
        <v>810.13</v>
      </c>
      <c r="K1356" s="86">
        <f t="shared" si="43"/>
        <v>378.0548</v>
      </c>
      <c r="L1356" s="87" t="s">
        <v>59</v>
      </c>
      <c r="M1356" s="87" t="s">
        <v>68</v>
      </c>
      <c r="N1356" s="88" t="s">
        <v>78</v>
      </c>
    </row>
    <row r="1357" spans="1:14">
      <c r="A1357" s="81">
        <v>46319</v>
      </c>
      <c r="B1357" s="82" t="s">
        <v>1425</v>
      </c>
      <c r="C1357" s="82" t="s">
        <v>40</v>
      </c>
      <c r="D1357" s="82" t="s">
        <v>27</v>
      </c>
      <c r="E1357" s="82" t="s">
        <v>25</v>
      </c>
      <c r="F1357" s="83">
        <v>7</v>
      </c>
      <c r="G1357" s="84">
        <v>1457</v>
      </c>
      <c r="H1357" s="85">
        <v>0.03</v>
      </c>
      <c r="I1357" s="86">
        <f t="shared" si="42"/>
        <v>9893.0299999999988</v>
      </c>
      <c r="J1357" s="86">
        <v>6935.32</v>
      </c>
      <c r="K1357" s="86">
        <f t="shared" si="43"/>
        <v>2957.7099999999991</v>
      </c>
      <c r="L1357" s="87" t="s">
        <v>59</v>
      </c>
      <c r="M1357" s="87" t="s">
        <v>64</v>
      </c>
      <c r="N1357" s="88" t="s">
        <v>69</v>
      </c>
    </row>
    <row r="1358" spans="1:14">
      <c r="A1358" s="81">
        <v>46319</v>
      </c>
      <c r="B1358" s="82" t="s">
        <v>1426</v>
      </c>
      <c r="C1358" s="82" t="s">
        <v>40</v>
      </c>
      <c r="D1358" s="82" t="s">
        <v>37</v>
      </c>
      <c r="E1358" s="82" t="s">
        <v>48</v>
      </c>
      <c r="F1358" s="83">
        <v>4</v>
      </c>
      <c r="G1358" s="84">
        <v>84.43</v>
      </c>
      <c r="H1358" s="85">
        <v>0.1</v>
      </c>
      <c r="I1358" s="86">
        <f t="shared" si="42"/>
        <v>303.94800000000004</v>
      </c>
      <c r="J1358" s="86">
        <v>141.84</v>
      </c>
      <c r="K1358" s="86">
        <f t="shared" si="43"/>
        <v>162.10800000000003</v>
      </c>
      <c r="L1358" s="87" t="s">
        <v>59</v>
      </c>
      <c r="M1358" s="87" t="s">
        <v>60</v>
      </c>
      <c r="N1358" s="88" t="s">
        <v>61</v>
      </c>
    </row>
    <row r="1359" spans="1:14">
      <c r="A1359" s="81">
        <v>46321</v>
      </c>
      <c r="B1359" s="82" t="s">
        <v>1427</v>
      </c>
      <c r="C1359" s="82" t="s">
        <v>40</v>
      </c>
      <c r="D1359" s="82" t="s">
        <v>27</v>
      </c>
      <c r="E1359" s="82" t="s">
        <v>25</v>
      </c>
      <c r="F1359" s="83">
        <v>10</v>
      </c>
      <c r="G1359" s="84">
        <v>1354.09</v>
      </c>
      <c r="H1359" s="85">
        <v>0.08</v>
      </c>
      <c r="I1359" s="86">
        <f t="shared" si="42"/>
        <v>12457.628000000001</v>
      </c>
      <c r="J1359" s="86">
        <v>9207.81</v>
      </c>
      <c r="K1359" s="86">
        <f t="shared" si="43"/>
        <v>3249.8180000000011</v>
      </c>
      <c r="L1359" s="87" t="s">
        <v>59</v>
      </c>
      <c r="M1359" s="87" t="s">
        <v>64</v>
      </c>
      <c r="N1359" s="88" t="s">
        <v>78</v>
      </c>
    </row>
    <row r="1360" spans="1:14">
      <c r="A1360" s="81">
        <v>46322</v>
      </c>
      <c r="B1360" s="82" t="s">
        <v>1428</v>
      </c>
      <c r="C1360" s="82" t="s">
        <v>26</v>
      </c>
      <c r="D1360" s="82" t="s">
        <v>37</v>
      </c>
      <c r="E1360" s="82" t="s">
        <v>48</v>
      </c>
      <c r="F1360" s="83">
        <v>5</v>
      </c>
      <c r="G1360" s="84">
        <v>77.61</v>
      </c>
      <c r="H1360" s="85">
        <v>0.12</v>
      </c>
      <c r="I1360" s="86">
        <f t="shared" si="42"/>
        <v>341.48400000000004</v>
      </c>
      <c r="J1360" s="86">
        <v>162.97999999999999</v>
      </c>
      <c r="K1360" s="86">
        <f t="shared" si="43"/>
        <v>178.50400000000005</v>
      </c>
      <c r="L1360" s="87" t="s">
        <v>59</v>
      </c>
      <c r="M1360" s="87" t="s">
        <v>60</v>
      </c>
      <c r="N1360" s="88" t="s">
        <v>61</v>
      </c>
    </row>
    <row r="1361" spans="1:14">
      <c r="A1361" s="81">
        <v>46322</v>
      </c>
      <c r="B1361" s="82" t="s">
        <v>1429</v>
      </c>
      <c r="C1361" s="82" t="s">
        <v>31</v>
      </c>
      <c r="D1361" s="82" t="s">
        <v>27</v>
      </c>
      <c r="E1361" s="82" t="s">
        <v>25</v>
      </c>
      <c r="F1361" s="83">
        <v>10</v>
      </c>
      <c r="G1361" s="84">
        <v>1392.54</v>
      </c>
      <c r="H1361" s="85">
        <v>0.1</v>
      </c>
      <c r="I1361" s="86">
        <f t="shared" si="42"/>
        <v>12532.86</v>
      </c>
      <c r="J1361" s="86">
        <v>9469.27</v>
      </c>
      <c r="K1361" s="86">
        <f t="shared" si="43"/>
        <v>3063.59</v>
      </c>
      <c r="L1361" s="87" t="s">
        <v>63</v>
      </c>
      <c r="M1361" s="87" t="s">
        <v>60</v>
      </c>
      <c r="N1361" s="88" t="s">
        <v>61</v>
      </c>
    </row>
    <row r="1362" spans="1:14">
      <c r="A1362" s="81">
        <v>46322</v>
      </c>
      <c r="B1362" s="82" t="s">
        <v>1430</v>
      </c>
      <c r="C1362" s="82" t="s">
        <v>26</v>
      </c>
      <c r="D1362" s="82" t="s">
        <v>27</v>
      </c>
      <c r="E1362" s="82" t="s">
        <v>25</v>
      </c>
      <c r="F1362" s="83">
        <v>3</v>
      </c>
      <c r="G1362" s="84">
        <v>1398.59</v>
      </c>
      <c r="H1362" s="85">
        <v>0.05</v>
      </c>
      <c r="I1362" s="86">
        <f t="shared" si="42"/>
        <v>3985.9814999999994</v>
      </c>
      <c r="J1362" s="86">
        <v>2853.12</v>
      </c>
      <c r="K1362" s="86">
        <f t="shared" si="43"/>
        <v>1132.8614999999995</v>
      </c>
      <c r="L1362" s="87" t="s">
        <v>63</v>
      </c>
      <c r="M1362" s="87" t="s">
        <v>64</v>
      </c>
      <c r="N1362" s="88" t="s">
        <v>65</v>
      </c>
    </row>
    <row r="1363" spans="1:14">
      <c r="A1363" s="81">
        <v>46322</v>
      </c>
      <c r="B1363" s="82" t="s">
        <v>1431</v>
      </c>
      <c r="C1363" s="82" t="s">
        <v>36</v>
      </c>
      <c r="D1363" s="82" t="s">
        <v>37</v>
      </c>
      <c r="E1363" s="82" t="s">
        <v>47</v>
      </c>
      <c r="F1363" s="83">
        <v>11</v>
      </c>
      <c r="G1363" s="84">
        <v>146.97999999999999</v>
      </c>
      <c r="H1363" s="85">
        <v>0.05</v>
      </c>
      <c r="I1363" s="86">
        <f t="shared" si="42"/>
        <v>1535.9409999999998</v>
      </c>
      <c r="J1363" s="86">
        <v>743.72</v>
      </c>
      <c r="K1363" s="86">
        <f t="shared" si="43"/>
        <v>792.22099999999978</v>
      </c>
      <c r="L1363" s="87" t="s">
        <v>59</v>
      </c>
      <c r="M1363" s="87" t="s">
        <v>60</v>
      </c>
      <c r="N1363" s="88" t="s">
        <v>65</v>
      </c>
    </row>
    <row r="1364" spans="1:14">
      <c r="A1364" s="81">
        <v>46322</v>
      </c>
      <c r="B1364" s="82" t="s">
        <v>1432</v>
      </c>
      <c r="C1364" s="82" t="s">
        <v>40</v>
      </c>
      <c r="D1364" s="82" t="s">
        <v>27</v>
      </c>
      <c r="E1364" s="82" t="s">
        <v>30</v>
      </c>
      <c r="F1364" s="83">
        <v>4</v>
      </c>
      <c r="G1364" s="84">
        <v>766.58</v>
      </c>
      <c r="H1364" s="85">
        <v>0.05</v>
      </c>
      <c r="I1364" s="86">
        <f t="shared" si="42"/>
        <v>2913.0039999999999</v>
      </c>
      <c r="J1364" s="86">
        <v>1962.44</v>
      </c>
      <c r="K1364" s="86">
        <f t="shared" si="43"/>
        <v>950.56399999999985</v>
      </c>
      <c r="L1364" s="87" t="s">
        <v>59</v>
      </c>
      <c r="M1364" s="87" t="s">
        <v>68</v>
      </c>
      <c r="N1364" s="88" t="s">
        <v>61</v>
      </c>
    </row>
    <row r="1365" spans="1:14">
      <c r="A1365" s="81">
        <v>46323</v>
      </c>
      <c r="B1365" s="82" t="s">
        <v>1433</v>
      </c>
      <c r="C1365" s="82" t="s">
        <v>40</v>
      </c>
      <c r="D1365" s="82" t="s">
        <v>32</v>
      </c>
      <c r="E1365" s="82" t="s">
        <v>39</v>
      </c>
      <c r="F1365" s="83">
        <v>5</v>
      </c>
      <c r="G1365" s="84">
        <v>534.29</v>
      </c>
      <c r="H1365" s="85">
        <v>0.08</v>
      </c>
      <c r="I1365" s="86">
        <f t="shared" si="42"/>
        <v>2457.7339999999999</v>
      </c>
      <c r="J1365" s="86">
        <v>1522.73</v>
      </c>
      <c r="K1365" s="86">
        <f t="shared" si="43"/>
        <v>935.00399999999991</v>
      </c>
      <c r="L1365" s="87" t="s">
        <v>59</v>
      </c>
      <c r="M1365" s="87" t="s">
        <v>64</v>
      </c>
      <c r="N1365" s="88" t="s">
        <v>74</v>
      </c>
    </row>
    <row r="1366" spans="1:14">
      <c r="A1366" s="81">
        <v>46323</v>
      </c>
      <c r="B1366" s="82" t="s">
        <v>1434</v>
      </c>
      <c r="C1366" s="82" t="s">
        <v>40</v>
      </c>
      <c r="D1366" s="82" t="s">
        <v>37</v>
      </c>
      <c r="E1366" s="82" t="s">
        <v>47</v>
      </c>
      <c r="F1366" s="83">
        <v>8</v>
      </c>
      <c r="G1366" s="84">
        <v>140.31</v>
      </c>
      <c r="H1366" s="85">
        <v>0.1</v>
      </c>
      <c r="I1366" s="86">
        <f t="shared" si="42"/>
        <v>1010.2320000000001</v>
      </c>
      <c r="J1366" s="86">
        <v>516.34</v>
      </c>
      <c r="K1366" s="86">
        <f t="shared" si="43"/>
        <v>493.89200000000005</v>
      </c>
      <c r="L1366" s="87" t="s">
        <v>67</v>
      </c>
      <c r="M1366" s="87" t="s">
        <v>60</v>
      </c>
      <c r="N1366" s="88" t="s">
        <v>74</v>
      </c>
    </row>
    <row r="1367" spans="1:14">
      <c r="A1367" s="81">
        <v>46324</v>
      </c>
      <c r="B1367" s="82" t="s">
        <v>1435</v>
      </c>
      <c r="C1367" s="82" t="s">
        <v>26</v>
      </c>
      <c r="D1367" s="82" t="s">
        <v>32</v>
      </c>
      <c r="E1367" s="82" t="s">
        <v>39</v>
      </c>
      <c r="F1367" s="83">
        <v>9</v>
      </c>
      <c r="G1367" s="84">
        <v>494.09</v>
      </c>
      <c r="H1367" s="85">
        <v>0.05</v>
      </c>
      <c r="I1367" s="86">
        <f t="shared" si="42"/>
        <v>4224.4694999999992</v>
      </c>
      <c r="J1367" s="86">
        <v>2534.6799999999998</v>
      </c>
      <c r="K1367" s="86">
        <f t="shared" si="43"/>
        <v>1689.7894999999994</v>
      </c>
      <c r="L1367" s="87" t="s">
        <v>67</v>
      </c>
      <c r="M1367" s="87" t="s">
        <v>60</v>
      </c>
      <c r="N1367" s="88" t="s">
        <v>74</v>
      </c>
    </row>
    <row r="1368" spans="1:14">
      <c r="A1368" s="81">
        <v>46325</v>
      </c>
      <c r="B1368" s="82" t="s">
        <v>1436</v>
      </c>
      <c r="C1368" s="82" t="s">
        <v>40</v>
      </c>
      <c r="D1368" s="82" t="s">
        <v>27</v>
      </c>
      <c r="E1368" s="82" t="s">
        <v>25</v>
      </c>
      <c r="F1368" s="83">
        <v>3</v>
      </c>
      <c r="G1368" s="84">
        <v>1357.4</v>
      </c>
      <c r="H1368" s="85">
        <v>0.08</v>
      </c>
      <c r="I1368" s="86">
        <f t="shared" si="42"/>
        <v>3746.4240000000004</v>
      </c>
      <c r="J1368" s="86">
        <v>2769.1</v>
      </c>
      <c r="K1368" s="86">
        <f t="shared" si="43"/>
        <v>977.32400000000052</v>
      </c>
      <c r="L1368" s="87" t="s">
        <v>63</v>
      </c>
      <c r="M1368" s="87" t="s">
        <v>64</v>
      </c>
      <c r="N1368" s="88" t="s">
        <v>61</v>
      </c>
    </row>
    <row r="1369" spans="1:14">
      <c r="A1369" s="81">
        <v>46325</v>
      </c>
      <c r="B1369" s="82" t="s">
        <v>1437</v>
      </c>
      <c r="C1369" s="82" t="s">
        <v>40</v>
      </c>
      <c r="D1369" s="82" t="s">
        <v>32</v>
      </c>
      <c r="E1369" s="82" t="s">
        <v>46</v>
      </c>
      <c r="F1369" s="83">
        <v>10</v>
      </c>
      <c r="G1369" s="84">
        <v>116.9</v>
      </c>
      <c r="H1369" s="85">
        <v>0.08</v>
      </c>
      <c r="I1369" s="86">
        <f t="shared" si="42"/>
        <v>1075.48</v>
      </c>
      <c r="J1369" s="86">
        <v>561.12</v>
      </c>
      <c r="K1369" s="86">
        <f t="shared" si="43"/>
        <v>514.36</v>
      </c>
      <c r="L1369" s="87" t="s">
        <v>67</v>
      </c>
      <c r="M1369" s="87" t="s">
        <v>68</v>
      </c>
      <c r="N1369" s="88" t="s">
        <v>65</v>
      </c>
    </row>
    <row r="1370" spans="1:14">
      <c r="A1370" s="81">
        <v>46326</v>
      </c>
      <c r="B1370" s="82" t="s">
        <v>1438</v>
      </c>
      <c r="C1370" s="82" t="s">
        <v>40</v>
      </c>
      <c r="D1370" s="82" t="s">
        <v>32</v>
      </c>
      <c r="E1370" s="82" t="s">
        <v>42</v>
      </c>
      <c r="F1370" s="83">
        <v>6</v>
      </c>
      <c r="G1370" s="84">
        <v>928.9</v>
      </c>
      <c r="H1370" s="85">
        <v>0.1</v>
      </c>
      <c r="I1370" s="86">
        <f t="shared" si="42"/>
        <v>5016.0599999999995</v>
      </c>
      <c r="J1370" s="86">
        <v>3399.77</v>
      </c>
      <c r="K1370" s="86">
        <f t="shared" si="43"/>
        <v>1616.2899999999995</v>
      </c>
      <c r="L1370" s="87" t="s">
        <v>63</v>
      </c>
      <c r="M1370" s="87" t="s">
        <v>64</v>
      </c>
      <c r="N1370" s="88" t="s">
        <v>61</v>
      </c>
    </row>
    <row r="1371" spans="1:14">
      <c r="A1371" s="81">
        <v>46326</v>
      </c>
      <c r="B1371" s="82" t="s">
        <v>1439</v>
      </c>
      <c r="C1371" s="82" t="s">
        <v>31</v>
      </c>
      <c r="D1371" s="82" t="s">
        <v>37</v>
      </c>
      <c r="E1371" s="82" t="s">
        <v>48</v>
      </c>
      <c r="F1371" s="83">
        <v>6</v>
      </c>
      <c r="G1371" s="84">
        <v>78.239999999999995</v>
      </c>
      <c r="H1371" s="85">
        <v>0.05</v>
      </c>
      <c r="I1371" s="86">
        <f t="shared" si="42"/>
        <v>445.9679999999999</v>
      </c>
      <c r="J1371" s="86">
        <v>197.16</v>
      </c>
      <c r="K1371" s="86">
        <f t="shared" si="43"/>
        <v>248.80799999999991</v>
      </c>
      <c r="L1371" s="87" t="s">
        <v>59</v>
      </c>
      <c r="M1371" s="87" t="s">
        <v>60</v>
      </c>
      <c r="N1371" s="88" t="s">
        <v>61</v>
      </c>
    </row>
    <row r="1372" spans="1:14">
      <c r="A1372" s="81">
        <v>46327</v>
      </c>
      <c r="B1372" s="82" t="s">
        <v>1440</v>
      </c>
      <c r="C1372" s="82" t="s">
        <v>31</v>
      </c>
      <c r="D1372" s="82" t="s">
        <v>37</v>
      </c>
      <c r="E1372" s="82" t="s">
        <v>47</v>
      </c>
      <c r="F1372" s="83">
        <v>2</v>
      </c>
      <c r="G1372" s="84">
        <v>141.57</v>
      </c>
      <c r="H1372" s="85">
        <v>0.03</v>
      </c>
      <c r="I1372" s="86">
        <f t="shared" si="42"/>
        <v>274.64579999999995</v>
      </c>
      <c r="J1372" s="86">
        <v>130.24</v>
      </c>
      <c r="K1372" s="86">
        <f t="shared" si="43"/>
        <v>144.40579999999994</v>
      </c>
      <c r="L1372" s="87" t="s">
        <v>63</v>
      </c>
      <c r="M1372" s="87" t="s">
        <v>60</v>
      </c>
      <c r="N1372" s="88" t="s">
        <v>78</v>
      </c>
    </row>
    <row r="1373" spans="1:14">
      <c r="A1373" s="81">
        <v>46328</v>
      </c>
      <c r="B1373" s="82" t="s">
        <v>1441</v>
      </c>
      <c r="C1373" s="82" t="s">
        <v>36</v>
      </c>
      <c r="D1373" s="82" t="s">
        <v>27</v>
      </c>
      <c r="E1373" s="82" t="s">
        <v>30</v>
      </c>
      <c r="F1373" s="83">
        <v>10</v>
      </c>
      <c r="G1373" s="84">
        <v>725.95</v>
      </c>
      <c r="H1373" s="85">
        <v>0.08</v>
      </c>
      <c r="I1373" s="86">
        <f t="shared" si="42"/>
        <v>6678.7400000000007</v>
      </c>
      <c r="J1373" s="86">
        <v>4646.08</v>
      </c>
      <c r="K1373" s="86">
        <f t="shared" si="43"/>
        <v>2032.6600000000008</v>
      </c>
      <c r="L1373" s="87" t="s">
        <v>67</v>
      </c>
      <c r="M1373" s="87" t="s">
        <v>64</v>
      </c>
      <c r="N1373" s="88" t="s">
        <v>65</v>
      </c>
    </row>
    <row r="1374" spans="1:14">
      <c r="A1374" s="81">
        <v>46328</v>
      </c>
      <c r="B1374" s="82" t="s">
        <v>1442</v>
      </c>
      <c r="C1374" s="82" t="s">
        <v>36</v>
      </c>
      <c r="D1374" s="82" t="s">
        <v>27</v>
      </c>
      <c r="E1374" s="82" t="s">
        <v>25</v>
      </c>
      <c r="F1374" s="83">
        <v>3</v>
      </c>
      <c r="G1374" s="84">
        <v>1397.43</v>
      </c>
      <c r="H1374" s="85">
        <v>0.08</v>
      </c>
      <c r="I1374" s="86">
        <f t="shared" si="42"/>
        <v>3856.9068000000002</v>
      </c>
      <c r="J1374" s="86">
        <v>2850.76</v>
      </c>
      <c r="K1374" s="86">
        <f t="shared" si="43"/>
        <v>1006.1468</v>
      </c>
      <c r="L1374" s="87" t="s">
        <v>59</v>
      </c>
      <c r="M1374" s="87" t="s">
        <v>64</v>
      </c>
      <c r="N1374" s="88" t="s">
        <v>78</v>
      </c>
    </row>
    <row r="1375" spans="1:14">
      <c r="A1375" s="81">
        <v>46329</v>
      </c>
      <c r="B1375" s="82" t="s">
        <v>1443</v>
      </c>
      <c r="C1375" s="82" t="s">
        <v>31</v>
      </c>
      <c r="D1375" s="82" t="s">
        <v>27</v>
      </c>
      <c r="E1375" s="82" t="s">
        <v>35</v>
      </c>
      <c r="F1375" s="83">
        <v>8</v>
      </c>
      <c r="G1375" s="84">
        <v>444</v>
      </c>
      <c r="H1375" s="85">
        <v>0</v>
      </c>
      <c r="I1375" s="86">
        <f t="shared" si="42"/>
        <v>3552</v>
      </c>
      <c r="J1375" s="86">
        <v>2131.1999999999998</v>
      </c>
      <c r="K1375" s="86">
        <f t="shared" si="43"/>
        <v>1420.8000000000002</v>
      </c>
      <c r="L1375" s="87" t="s">
        <v>59</v>
      </c>
      <c r="M1375" s="87" t="s">
        <v>60</v>
      </c>
      <c r="N1375" s="88" t="s">
        <v>74</v>
      </c>
    </row>
    <row r="1376" spans="1:14">
      <c r="A1376" s="81">
        <v>46329</v>
      </c>
      <c r="B1376" s="82" t="s">
        <v>1444</v>
      </c>
      <c r="C1376" s="82" t="s">
        <v>31</v>
      </c>
      <c r="D1376" s="82" t="s">
        <v>37</v>
      </c>
      <c r="E1376" s="82" t="s">
        <v>47</v>
      </c>
      <c r="F1376" s="83">
        <v>7</v>
      </c>
      <c r="G1376" s="84">
        <v>148.11000000000001</v>
      </c>
      <c r="H1376" s="85">
        <v>0</v>
      </c>
      <c r="I1376" s="86">
        <f t="shared" si="42"/>
        <v>1036.77</v>
      </c>
      <c r="J1376" s="86">
        <v>476.91</v>
      </c>
      <c r="K1376" s="86">
        <f t="shared" si="43"/>
        <v>559.8599999999999</v>
      </c>
      <c r="L1376" s="87" t="s">
        <v>59</v>
      </c>
      <c r="M1376" s="87" t="s">
        <v>64</v>
      </c>
      <c r="N1376" s="88" t="s">
        <v>71</v>
      </c>
    </row>
    <row r="1377" spans="1:14">
      <c r="A1377" s="81">
        <v>46329</v>
      </c>
      <c r="B1377" s="82" t="s">
        <v>1445</v>
      </c>
      <c r="C1377" s="82" t="s">
        <v>36</v>
      </c>
      <c r="D1377" s="82" t="s">
        <v>27</v>
      </c>
      <c r="E1377" s="82" t="s">
        <v>30</v>
      </c>
      <c r="F1377" s="83">
        <v>8</v>
      </c>
      <c r="G1377" s="84">
        <v>741.19</v>
      </c>
      <c r="H1377" s="85">
        <v>0.12</v>
      </c>
      <c r="I1377" s="86">
        <f t="shared" si="42"/>
        <v>5217.9776000000002</v>
      </c>
      <c r="J1377" s="86">
        <v>3794.89</v>
      </c>
      <c r="K1377" s="86">
        <f t="shared" si="43"/>
        <v>1423.0876000000003</v>
      </c>
      <c r="L1377" s="87" t="s">
        <v>59</v>
      </c>
      <c r="M1377" s="87" t="s">
        <v>60</v>
      </c>
      <c r="N1377" s="88" t="s">
        <v>65</v>
      </c>
    </row>
    <row r="1378" spans="1:14">
      <c r="A1378" s="81">
        <v>46329</v>
      </c>
      <c r="B1378" s="82" t="s">
        <v>1446</v>
      </c>
      <c r="C1378" s="82" t="s">
        <v>36</v>
      </c>
      <c r="D1378" s="82" t="s">
        <v>27</v>
      </c>
      <c r="E1378" s="82" t="s">
        <v>35</v>
      </c>
      <c r="F1378" s="83">
        <v>13</v>
      </c>
      <c r="G1378" s="84">
        <v>426.38</v>
      </c>
      <c r="H1378" s="85">
        <v>0.03</v>
      </c>
      <c r="I1378" s="86">
        <f t="shared" si="42"/>
        <v>5376.6517999999996</v>
      </c>
      <c r="J1378" s="86">
        <v>3325.76</v>
      </c>
      <c r="K1378" s="86">
        <f t="shared" si="43"/>
        <v>2050.8917999999994</v>
      </c>
      <c r="L1378" s="87" t="s">
        <v>59</v>
      </c>
      <c r="M1378" s="87" t="s">
        <v>68</v>
      </c>
      <c r="N1378" s="88" t="s">
        <v>71</v>
      </c>
    </row>
    <row r="1379" spans="1:14">
      <c r="A1379" s="81">
        <v>46330</v>
      </c>
      <c r="B1379" s="82" t="s">
        <v>1447</v>
      </c>
      <c r="C1379" s="82" t="s">
        <v>40</v>
      </c>
      <c r="D1379" s="82" t="s">
        <v>37</v>
      </c>
      <c r="E1379" s="82" t="s">
        <v>48</v>
      </c>
      <c r="F1379" s="83">
        <v>8</v>
      </c>
      <c r="G1379" s="84">
        <v>77.42</v>
      </c>
      <c r="H1379" s="85">
        <v>0</v>
      </c>
      <c r="I1379" s="86">
        <f t="shared" si="42"/>
        <v>619.36</v>
      </c>
      <c r="J1379" s="86">
        <v>260.13</v>
      </c>
      <c r="K1379" s="86">
        <f t="shared" si="43"/>
        <v>359.23</v>
      </c>
      <c r="L1379" s="87" t="s">
        <v>59</v>
      </c>
      <c r="M1379" s="87" t="s">
        <v>60</v>
      </c>
      <c r="N1379" s="88" t="s">
        <v>71</v>
      </c>
    </row>
    <row r="1380" spans="1:14">
      <c r="A1380" s="81">
        <v>46331</v>
      </c>
      <c r="B1380" s="82" t="s">
        <v>1448</v>
      </c>
      <c r="C1380" s="82" t="s">
        <v>40</v>
      </c>
      <c r="D1380" s="82" t="s">
        <v>27</v>
      </c>
      <c r="E1380" s="82" t="s">
        <v>25</v>
      </c>
      <c r="F1380" s="83">
        <v>3</v>
      </c>
      <c r="G1380" s="84">
        <v>1416.33</v>
      </c>
      <c r="H1380" s="85">
        <v>0.12</v>
      </c>
      <c r="I1380" s="86">
        <f t="shared" si="42"/>
        <v>3739.1111999999998</v>
      </c>
      <c r="J1380" s="86">
        <v>2889.31</v>
      </c>
      <c r="K1380" s="86">
        <f t="shared" si="43"/>
        <v>849.80119999999988</v>
      </c>
      <c r="L1380" s="87" t="s">
        <v>63</v>
      </c>
      <c r="M1380" s="87" t="s">
        <v>64</v>
      </c>
      <c r="N1380" s="88" t="s">
        <v>74</v>
      </c>
    </row>
    <row r="1381" spans="1:14">
      <c r="A1381" s="81">
        <v>46332</v>
      </c>
      <c r="B1381" s="82" t="s">
        <v>1449</v>
      </c>
      <c r="C1381" s="82" t="s">
        <v>31</v>
      </c>
      <c r="D1381" s="82" t="s">
        <v>32</v>
      </c>
      <c r="E1381" s="82" t="s">
        <v>46</v>
      </c>
      <c r="F1381" s="83">
        <v>3</v>
      </c>
      <c r="G1381" s="84">
        <v>116.9</v>
      </c>
      <c r="H1381" s="85">
        <v>0.08</v>
      </c>
      <c r="I1381" s="86">
        <f t="shared" si="42"/>
        <v>322.64400000000006</v>
      </c>
      <c r="J1381" s="86">
        <v>168.34</v>
      </c>
      <c r="K1381" s="86">
        <f t="shared" si="43"/>
        <v>154.30400000000006</v>
      </c>
      <c r="L1381" s="87" t="s">
        <v>67</v>
      </c>
      <c r="M1381" s="87" t="s">
        <v>60</v>
      </c>
      <c r="N1381" s="88" t="s">
        <v>71</v>
      </c>
    </row>
    <row r="1382" spans="1:14">
      <c r="A1382" s="81">
        <v>46333</v>
      </c>
      <c r="B1382" s="82" t="s">
        <v>1450</v>
      </c>
      <c r="C1382" s="82" t="s">
        <v>40</v>
      </c>
      <c r="D1382" s="82" t="s">
        <v>27</v>
      </c>
      <c r="E1382" s="82" t="s">
        <v>35</v>
      </c>
      <c r="F1382" s="83">
        <v>10</v>
      </c>
      <c r="G1382" s="84">
        <v>436.78</v>
      </c>
      <c r="H1382" s="85">
        <v>0</v>
      </c>
      <c r="I1382" s="86">
        <f t="shared" si="42"/>
        <v>4367.7999999999993</v>
      </c>
      <c r="J1382" s="86">
        <v>2620.6799999999998</v>
      </c>
      <c r="K1382" s="86">
        <f t="shared" si="43"/>
        <v>1747.1199999999994</v>
      </c>
      <c r="L1382" s="87" t="s">
        <v>63</v>
      </c>
      <c r="M1382" s="87" t="s">
        <v>64</v>
      </c>
      <c r="N1382" s="88" t="s">
        <v>74</v>
      </c>
    </row>
    <row r="1383" spans="1:14">
      <c r="A1383" s="81">
        <v>46334</v>
      </c>
      <c r="B1383" s="82" t="s">
        <v>1451</v>
      </c>
      <c r="C1383" s="82" t="s">
        <v>26</v>
      </c>
      <c r="D1383" s="82" t="s">
        <v>27</v>
      </c>
      <c r="E1383" s="82" t="s">
        <v>30</v>
      </c>
      <c r="F1383" s="83">
        <v>5</v>
      </c>
      <c r="G1383" s="84">
        <v>730.61</v>
      </c>
      <c r="H1383" s="85">
        <v>0.08</v>
      </c>
      <c r="I1383" s="86">
        <f t="shared" si="42"/>
        <v>3360.8060000000005</v>
      </c>
      <c r="J1383" s="86">
        <v>2337.9499999999998</v>
      </c>
      <c r="K1383" s="86">
        <f t="shared" si="43"/>
        <v>1022.8560000000007</v>
      </c>
      <c r="L1383" s="87" t="s">
        <v>59</v>
      </c>
      <c r="M1383" s="87" t="s">
        <v>60</v>
      </c>
      <c r="N1383" s="88" t="s">
        <v>65</v>
      </c>
    </row>
    <row r="1384" spans="1:14">
      <c r="A1384" s="81">
        <v>46334</v>
      </c>
      <c r="B1384" s="82" t="s">
        <v>1452</v>
      </c>
      <c r="C1384" s="82" t="s">
        <v>36</v>
      </c>
      <c r="D1384" s="82" t="s">
        <v>32</v>
      </c>
      <c r="E1384" s="82" t="s">
        <v>42</v>
      </c>
      <c r="F1384" s="83">
        <v>4</v>
      </c>
      <c r="G1384" s="84">
        <v>880.26</v>
      </c>
      <c r="H1384" s="85">
        <v>0</v>
      </c>
      <c r="I1384" s="86">
        <f t="shared" si="42"/>
        <v>3521.04</v>
      </c>
      <c r="J1384" s="86">
        <v>2147.83</v>
      </c>
      <c r="K1384" s="86">
        <f t="shared" si="43"/>
        <v>1373.21</v>
      </c>
      <c r="L1384" s="87" t="s">
        <v>59</v>
      </c>
      <c r="M1384" s="87" t="s">
        <v>68</v>
      </c>
      <c r="N1384" s="88" t="s">
        <v>78</v>
      </c>
    </row>
    <row r="1385" spans="1:14">
      <c r="A1385" s="81">
        <v>46334</v>
      </c>
      <c r="B1385" s="82" t="s">
        <v>1453</v>
      </c>
      <c r="C1385" s="82" t="s">
        <v>40</v>
      </c>
      <c r="D1385" s="82" t="s">
        <v>37</v>
      </c>
      <c r="E1385" s="82" t="s">
        <v>47</v>
      </c>
      <c r="F1385" s="83">
        <v>2</v>
      </c>
      <c r="G1385" s="84">
        <v>148.86000000000001</v>
      </c>
      <c r="H1385" s="85">
        <v>0.08</v>
      </c>
      <c r="I1385" s="86">
        <f t="shared" si="42"/>
        <v>273.90240000000006</v>
      </c>
      <c r="J1385" s="86">
        <v>136.94999999999999</v>
      </c>
      <c r="K1385" s="86">
        <f t="shared" si="43"/>
        <v>136.95240000000007</v>
      </c>
      <c r="L1385" s="87" t="s">
        <v>59</v>
      </c>
      <c r="M1385" s="87" t="s">
        <v>64</v>
      </c>
      <c r="N1385" s="88" t="s">
        <v>74</v>
      </c>
    </row>
    <row r="1386" spans="1:14">
      <c r="A1386" s="81">
        <v>46335</v>
      </c>
      <c r="B1386" s="82" t="s">
        <v>1454</v>
      </c>
      <c r="C1386" s="82" t="s">
        <v>26</v>
      </c>
      <c r="D1386" s="82" t="s">
        <v>32</v>
      </c>
      <c r="E1386" s="82" t="s">
        <v>42</v>
      </c>
      <c r="F1386" s="83">
        <v>11</v>
      </c>
      <c r="G1386" s="84">
        <v>914.46</v>
      </c>
      <c r="H1386" s="85">
        <v>0.12</v>
      </c>
      <c r="I1386" s="86">
        <f t="shared" si="42"/>
        <v>8851.9728000000014</v>
      </c>
      <c r="J1386" s="86">
        <v>6136.03</v>
      </c>
      <c r="K1386" s="86">
        <f t="shared" si="43"/>
        <v>2715.9428000000016</v>
      </c>
      <c r="L1386" s="87" t="s">
        <v>59</v>
      </c>
      <c r="M1386" s="87" t="s">
        <v>64</v>
      </c>
      <c r="N1386" s="88" t="s">
        <v>74</v>
      </c>
    </row>
    <row r="1387" spans="1:14">
      <c r="A1387" s="81">
        <v>46336</v>
      </c>
      <c r="B1387" s="82" t="s">
        <v>1455</v>
      </c>
      <c r="C1387" s="82" t="s">
        <v>31</v>
      </c>
      <c r="D1387" s="82" t="s">
        <v>37</v>
      </c>
      <c r="E1387" s="82" t="s">
        <v>48</v>
      </c>
      <c r="F1387" s="83">
        <v>11</v>
      </c>
      <c r="G1387" s="84">
        <v>79.05</v>
      </c>
      <c r="H1387" s="85">
        <v>0.03</v>
      </c>
      <c r="I1387" s="86">
        <f t="shared" si="42"/>
        <v>843.46349999999995</v>
      </c>
      <c r="J1387" s="86">
        <v>365.21</v>
      </c>
      <c r="K1387" s="86">
        <f t="shared" si="43"/>
        <v>478.25349999999997</v>
      </c>
      <c r="L1387" s="87" t="s">
        <v>67</v>
      </c>
      <c r="M1387" s="87" t="s">
        <v>60</v>
      </c>
      <c r="N1387" s="88" t="s">
        <v>61</v>
      </c>
    </row>
    <row r="1388" spans="1:14">
      <c r="A1388" s="81">
        <v>46336</v>
      </c>
      <c r="B1388" s="82" t="s">
        <v>1456</v>
      </c>
      <c r="C1388" s="82" t="s">
        <v>26</v>
      </c>
      <c r="D1388" s="82" t="s">
        <v>32</v>
      </c>
      <c r="E1388" s="82" t="s">
        <v>42</v>
      </c>
      <c r="F1388" s="83">
        <v>3</v>
      </c>
      <c r="G1388" s="84">
        <v>894.05</v>
      </c>
      <c r="H1388" s="85">
        <v>0.08</v>
      </c>
      <c r="I1388" s="86">
        <f t="shared" si="42"/>
        <v>2467.578</v>
      </c>
      <c r="J1388" s="86">
        <v>1636.11</v>
      </c>
      <c r="K1388" s="86">
        <f t="shared" si="43"/>
        <v>831.46800000000007</v>
      </c>
      <c r="L1388" s="87" t="s">
        <v>67</v>
      </c>
      <c r="M1388" s="87" t="s">
        <v>64</v>
      </c>
      <c r="N1388" s="88" t="s">
        <v>65</v>
      </c>
    </row>
    <row r="1389" spans="1:14">
      <c r="A1389" s="81">
        <v>46337</v>
      </c>
      <c r="B1389" s="82" t="s">
        <v>1457</v>
      </c>
      <c r="C1389" s="82" t="s">
        <v>40</v>
      </c>
      <c r="D1389" s="82" t="s">
        <v>37</v>
      </c>
      <c r="E1389" s="82" t="s">
        <v>47</v>
      </c>
      <c r="F1389" s="83">
        <v>8</v>
      </c>
      <c r="G1389" s="84">
        <v>148.68</v>
      </c>
      <c r="H1389" s="85">
        <v>0.1</v>
      </c>
      <c r="I1389" s="86">
        <f t="shared" si="42"/>
        <v>1070.4960000000001</v>
      </c>
      <c r="J1389" s="86">
        <v>547.14</v>
      </c>
      <c r="K1389" s="86">
        <f t="shared" si="43"/>
        <v>523.35600000000011</v>
      </c>
      <c r="L1389" s="87" t="s">
        <v>63</v>
      </c>
      <c r="M1389" s="87" t="s">
        <v>68</v>
      </c>
      <c r="N1389" s="88" t="s">
        <v>69</v>
      </c>
    </row>
    <row r="1390" spans="1:14">
      <c r="A1390" s="81">
        <v>46338</v>
      </c>
      <c r="B1390" s="82" t="s">
        <v>1458</v>
      </c>
      <c r="C1390" s="82" t="s">
        <v>36</v>
      </c>
      <c r="D1390" s="82" t="s">
        <v>32</v>
      </c>
      <c r="E1390" s="82" t="s">
        <v>42</v>
      </c>
      <c r="F1390" s="83">
        <v>2</v>
      </c>
      <c r="G1390" s="84">
        <v>936.3</v>
      </c>
      <c r="H1390" s="85">
        <v>0</v>
      </c>
      <c r="I1390" s="86">
        <f t="shared" si="42"/>
        <v>1872.6</v>
      </c>
      <c r="J1390" s="86">
        <v>1142.29</v>
      </c>
      <c r="K1390" s="86">
        <f t="shared" si="43"/>
        <v>730.31</v>
      </c>
      <c r="L1390" s="87" t="s">
        <v>63</v>
      </c>
      <c r="M1390" s="87" t="s">
        <v>60</v>
      </c>
      <c r="N1390" s="88" t="s">
        <v>65</v>
      </c>
    </row>
    <row r="1391" spans="1:14">
      <c r="A1391" s="81">
        <v>46339</v>
      </c>
      <c r="B1391" s="82" t="s">
        <v>1459</v>
      </c>
      <c r="C1391" s="82" t="s">
        <v>31</v>
      </c>
      <c r="D1391" s="82" t="s">
        <v>32</v>
      </c>
      <c r="E1391" s="82" t="s">
        <v>42</v>
      </c>
      <c r="F1391" s="83">
        <v>8</v>
      </c>
      <c r="G1391" s="84">
        <v>917.99</v>
      </c>
      <c r="H1391" s="85">
        <v>0</v>
      </c>
      <c r="I1391" s="86">
        <f t="shared" si="42"/>
        <v>7343.92</v>
      </c>
      <c r="J1391" s="86">
        <v>4479.79</v>
      </c>
      <c r="K1391" s="86">
        <f t="shared" si="43"/>
        <v>2864.13</v>
      </c>
      <c r="L1391" s="87" t="s">
        <v>67</v>
      </c>
      <c r="M1391" s="87" t="s">
        <v>68</v>
      </c>
      <c r="N1391" s="88" t="s">
        <v>74</v>
      </c>
    </row>
    <row r="1392" spans="1:14">
      <c r="A1392" s="81">
        <v>46340</v>
      </c>
      <c r="B1392" s="82" t="s">
        <v>1460</v>
      </c>
      <c r="C1392" s="82" t="s">
        <v>40</v>
      </c>
      <c r="D1392" s="82" t="s">
        <v>27</v>
      </c>
      <c r="E1392" s="82" t="s">
        <v>30</v>
      </c>
      <c r="F1392" s="83">
        <v>4</v>
      </c>
      <c r="G1392" s="84">
        <v>769.85</v>
      </c>
      <c r="H1392" s="85">
        <v>0.03</v>
      </c>
      <c r="I1392" s="86">
        <f t="shared" si="42"/>
        <v>2987.018</v>
      </c>
      <c r="J1392" s="86">
        <v>1970.82</v>
      </c>
      <c r="K1392" s="86">
        <f t="shared" si="43"/>
        <v>1016.1980000000001</v>
      </c>
      <c r="L1392" s="87" t="s">
        <v>63</v>
      </c>
      <c r="M1392" s="87" t="s">
        <v>64</v>
      </c>
      <c r="N1392" s="88" t="s">
        <v>61</v>
      </c>
    </row>
    <row r="1393" spans="1:14">
      <c r="A1393" s="81">
        <v>46341</v>
      </c>
      <c r="B1393" s="82" t="s">
        <v>1461</v>
      </c>
      <c r="C1393" s="82" t="s">
        <v>36</v>
      </c>
      <c r="D1393" s="82" t="s">
        <v>27</v>
      </c>
      <c r="E1393" s="82" t="s">
        <v>30</v>
      </c>
      <c r="F1393" s="83">
        <v>8</v>
      </c>
      <c r="G1393" s="84">
        <v>702.69</v>
      </c>
      <c r="H1393" s="85">
        <v>0.12</v>
      </c>
      <c r="I1393" s="86">
        <f t="shared" si="42"/>
        <v>4946.9376000000002</v>
      </c>
      <c r="J1393" s="86">
        <v>3597.77</v>
      </c>
      <c r="K1393" s="86">
        <f t="shared" si="43"/>
        <v>1349.1676000000002</v>
      </c>
      <c r="L1393" s="87" t="s">
        <v>67</v>
      </c>
      <c r="M1393" s="87" t="s">
        <v>64</v>
      </c>
      <c r="N1393" s="88" t="s">
        <v>69</v>
      </c>
    </row>
    <row r="1394" spans="1:14">
      <c r="A1394" s="81">
        <v>46341</v>
      </c>
      <c r="B1394" s="82" t="s">
        <v>1462</v>
      </c>
      <c r="C1394" s="82" t="s">
        <v>40</v>
      </c>
      <c r="D1394" s="82" t="s">
        <v>32</v>
      </c>
      <c r="E1394" s="82" t="s">
        <v>46</v>
      </c>
      <c r="F1394" s="83">
        <v>9</v>
      </c>
      <c r="G1394" s="84">
        <v>112.01</v>
      </c>
      <c r="H1394" s="85">
        <v>0</v>
      </c>
      <c r="I1394" s="86">
        <f t="shared" si="42"/>
        <v>1008.09</v>
      </c>
      <c r="J1394" s="86">
        <v>483.88</v>
      </c>
      <c r="K1394" s="86">
        <f t="shared" si="43"/>
        <v>524.21</v>
      </c>
      <c r="L1394" s="87" t="s">
        <v>63</v>
      </c>
      <c r="M1394" s="87" t="s">
        <v>68</v>
      </c>
      <c r="N1394" s="88" t="s">
        <v>74</v>
      </c>
    </row>
    <row r="1395" spans="1:14">
      <c r="A1395" s="81">
        <v>46341</v>
      </c>
      <c r="B1395" s="82" t="s">
        <v>1463</v>
      </c>
      <c r="C1395" s="82" t="s">
        <v>36</v>
      </c>
      <c r="D1395" s="82" t="s">
        <v>37</v>
      </c>
      <c r="E1395" s="82" t="s">
        <v>48</v>
      </c>
      <c r="F1395" s="83">
        <v>6</v>
      </c>
      <c r="G1395" s="84">
        <v>84.44</v>
      </c>
      <c r="H1395" s="85">
        <v>0</v>
      </c>
      <c r="I1395" s="86">
        <f t="shared" si="42"/>
        <v>506.64</v>
      </c>
      <c r="J1395" s="86">
        <v>212.79</v>
      </c>
      <c r="K1395" s="86">
        <f t="shared" si="43"/>
        <v>293.85000000000002</v>
      </c>
      <c r="L1395" s="87" t="s">
        <v>67</v>
      </c>
      <c r="M1395" s="87" t="s">
        <v>64</v>
      </c>
      <c r="N1395" s="88" t="s">
        <v>74</v>
      </c>
    </row>
    <row r="1396" spans="1:14">
      <c r="A1396" s="81">
        <v>46343</v>
      </c>
      <c r="B1396" s="82" t="s">
        <v>1464</v>
      </c>
      <c r="C1396" s="82" t="s">
        <v>26</v>
      </c>
      <c r="D1396" s="82" t="s">
        <v>27</v>
      </c>
      <c r="E1396" s="82" t="s">
        <v>25</v>
      </c>
      <c r="F1396" s="83">
        <v>4</v>
      </c>
      <c r="G1396" s="84">
        <v>1378.59</v>
      </c>
      <c r="H1396" s="85">
        <v>0.1</v>
      </c>
      <c r="I1396" s="86">
        <f t="shared" si="42"/>
        <v>4962.924</v>
      </c>
      <c r="J1396" s="86">
        <v>3749.76</v>
      </c>
      <c r="K1396" s="86">
        <f t="shared" si="43"/>
        <v>1213.1639999999998</v>
      </c>
      <c r="L1396" s="87" t="s">
        <v>59</v>
      </c>
      <c r="M1396" s="87" t="s">
        <v>64</v>
      </c>
      <c r="N1396" s="88" t="s">
        <v>71</v>
      </c>
    </row>
    <row r="1397" spans="1:14">
      <c r="A1397" s="81">
        <v>46343</v>
      </c>
      <c r="B1397" s="82" t="s">
        <v>1465</v>
      </c>
      <c r="C1397" s="82" t="s">
        <v>26</v>
      </c>
      <c r="D1397" s="82" t="s">
        <v>32</v>
      </c>
      <c r="E1397" s="82" t="s">
        <v>46</v>
      </c>
      <c r="F1397" s="83">
        <v>11</v>
      </c>
      <c r="G1397" s="84">
        <v>111.75</v>
      </c>
      <c r="H1397" s="85">
        <v>0.05</v>
      </c>
      <c r="I1397" s="86">
        <f t="shared" si="42"/>
        <v>1167.7874999999999</v>
      </c>
      <c r="J1397" s="86">
        <v>590.04</v>
      </c>
      <c r="K1397" s="86">
        <f t="shared" si="43"/>
        <v>577.74749999999995</v>
      </c>
      <c r="L1397" s="87" t="s">
        <v>59</v>
      </c>
      <c r="M1397" s="87" t="s">
        <v>68</v>
      </c>
      <c r="N1397" s="88" t="s">
        <v>61</v>
      </c>
    </row>
    <row r="1398" spans="1:14">
      <c r="A1398" s="81">
        <v>46343</v>
      </c>
      <c r="B1398" s="82" t="s">
        <v>1466</v>
      </c>
      <c r="C1398" s="82" t="s">
        <v>31</v>
      </c>
      <c r="D1398" s="82" t="s">
        <v>37</v>
      </c>
      <c r="E1398" s="82" t="s">
        <v>48</v>
      </c>
      <c r="F1398" s="83">
        <v>7</v>
      </c>
      <c r="G1398" s="84">
        <v>83.25</v>
      </c>
      <c r="H1398" s="85">
        <v>0.12</v>
      </c>
      <c r="I1398" s="86">
        <f t="shared" si="42"/>
        <v>512.82000000000005</v>
      </c>
      <c r="J1398" s="86">
        <v>244.76</v>
      </c>
      <c r="K1398" s="86">
        <f t="shared" si="43"/>
        <v>268.06000000000006</v>
      </c>
      <c r="L1398" s="87" t="s">
        <v>63</v>
      </c>
      <c r="M1398" s="87" t="s">
        <v>60</v>
      </c>
      <c r="N1398" s="88" t="s">
        <v>65</v>
      </c>
    </row>
    <row r="1399" spans="1:14">
      <c r="A1399" s="81">
        <v>46347</v>
      </c>
      <c r="B1399" s="82" t="s">
        <v>1467</v>
      </c>
      <c r="C1399" s="82" t="s">
        <v>40</v>
      </c>
      <c r="D1399" s="82" t="s">
        <v>32</v>
      </c>
      <c r="E1399" s="82" t="s">
        <v>46</v>
      </c>
      <c r="F1399" s="83">
        <v>7</v>
      </c>
      <c r="G1399" s="84">
        <v>116.19</v>
      </c>
      <c r="H1399" s="85">
        <v>0.05</v>
      </c>
      <c r="I1399" s="86">
        <f t="shared" si="42"/>
        <v>772.66349999999989</v>
      </c>
      <c r="J1399" s="86">
        <v>390.4</v>
      </c>
      <c r="K1399" s="86">
        <f t="shared" si="43"/>
        <v>382.26349999999991</v>
      </c>
      <c r="L1399" s="87" t="s">
        <v>59</v>
      </c>
      <c r="M1399" s="87" t="s">
        <v>60</v>
      </c>
      <c r="N1399" s="88" t="s">
        <v>74</v>
      </c>
    </row>
    <row r="1400" spans="1:14">
      <c r="A1400" s="81">
        <v>46348</v>
      </c>
      <c r="B1400" s="82" t="s">
        <v>1468</v>
      </c>
      <c r="C1400" s="82" t="s">
        <v>40</v>
      </c>
      <c r="D1400" s="82" t="s">
        <v>37</v>
      </c>
      <c r="E1400" s="82" t="s">
        <v>47</v>
      </c>
      <c r="F1400" s="83">
        <v>2</v>
      </c>
      <c r="G1400" s="84">
        <v>138.28</v>
      </c>
      <c r="H1400" s="85">
        <v>0.05</v>
      </c>
      <c r="I1400" s="86">
        <f t="shared" si="42"/>
        <v>262.73199999999997</v>
      </c>
      <c r="J1400" s="86">
        <v>127.22</v>
      </c>
      <c r="K1400" s="86">
        <f t="shared" si="43"/>
        <v>135.51199999999997</v>
      </c>
      <c r="L1400" s="87" t="s">
        <v>63</v>
      </c>
      <c r="M1400" s="87" t="s">
        <v>64</v>
      </c>
      <c r="N1400" s="88" t="s">
        <v>69</v>
      </c>
    </row>
    <row r="1401" spans="1:14">
      <c r="A1401" s="81">
        <v>46348</v>
      </c>
      <c r="B1401" s="82" t="s">
        <v>1469</v>
      </c>
      <c r="C1401" s="82" t="s">
        <v>40</v>
      </c>
      <c r="D1401" s="82" t="s">
        <v>32</v>
      </c>
      <c r="E1401" s="82" t="s">
        <v>46</v>
      </c>
      <c r="F1401" s="83">
        <v>7</v>
      </c>
      <c r="G1401" s="84">
        <v>107.89</v>
      </c>
      <c r="H1401" s="85">
        <v>0.1</v>
      </c>
      <c r="I1401" s="86">
        <f t="shared" si="42"/>
        <v>679.70699999999999</v>
      </c>
      <c r="J1401" s="86">
        <v>362.51</v>
      </c>
      <c r="K1401" s="86">
        <f t="shared" si="43"/>
        <v>317.197</v>
      </c>
      <c r="L1401" s="87" t="s">
        <v>59</v>
      </c>
      <c r="M1401" s="87" t="s">
        <v>68</v>
      </c>
      <c r="N1401" s="88" t="s">
        <v>71</v>
      </c>
    </row>
    <row r="1402" spans="1:14">
      <c r="A1402" s="81">
        <v>46349</v>
      </c>
      <c r="B1402" s="82" t="s">
        <v>1470</v>
      </c>
      <c r="C1402" s="82" t="s">
        <v>40</v>
      </c>
      <c r="D1402" s="82" t="s">
        <v>32</v>
      </c>
      <c r="E1402" s="82" t="s">
        <v>42</v>
      </c>
      <c r="F1402" s="83">
        <v>9</v>
      </c>
      <c r="G1402" s="84">
        <v>915.29</v>
      </c>
      <c r="H1402" s="85">
        <v>0.12</v>
      </c>
      <c r="I1402" s="86">
        <f t="shared" si="42"/>
        <v>7249.0968000000003</v>
      </c>
      <c r="J1402" s="86">
        <v>5024.9399999999996</v>
      </c>
      <c r="K1402" s="86">
        <f t="shared" si="43"/>
        <v>2224.1568000000007</v>
      </c>
      <c r="L1402" s="87" t="s">
        <v>59</v>
      </c>
      <c r="M1402" s="87" t="s">
        <v>60</v>
      </c>
      <c r="N1402" s="88" t="s">
        <v>78</v>
      </c>
    </row>
    <row r="1403" spans="1:14">
      <c r="A1403" s="81">
        <v>46349</v>
      </c>
      <c r="B1403" s="82" t="s">
        <v>1471</v>
      </c>
      <c r="C1403" s="82" t="s">
        <v>26</v>
      </c>
      <c r="D1403" s="82" t="s">
        <v>27</v>
      </c>
      <c r="E1403" s="82" t="s">
        <v>30</v>
      </c>
      <c r="F1403" s="83">
        <v>8</v>
      </c>
      <c r="G1403" s="84">
        <v>703.29</v>
      </c>
      <c r="H1403" s="85">
        <v>0.12</v>
      </c>
      <c r="I1403" s="86">
        <f t="shared" si="42"/>
        <v>4951.1615999999995</v>
      </c>
      <c r="J1403" s="86">
        <v>3600.84</v>
      </c>
      <c r="K1403" s="86">
        <f t="shared" si="43"/>
        <v>1350.3215999999993</v>
      </c>
      <c r="L1403" s="87" t="s">
        <v>59</v>
      </c>
      <c r="M1403" s="87" t="s">
        <v>60</v>
      </c>
      <c r="N1403" s="88" t="s">
        <v>78</v>
      </c>
    </row>
    <row r="1404" spans="1:14">
      <c r="A1404" s="81">
        <v>46351</v>
      </c>
      <c r="B1404" s="82" t="s">
        <v>1472</v>
      </c>
      <c r="C1404" s="82" t="s">
        <v>26</v>
      </c>
      <c r="D1404" s="82" t="s">
        <v>27</v>
      </c>
      <c r="E1404" s="82" t="s">
        <v>25</v>
      </c>
      <c r="F1404" s="83">
        <v>12</v>
      </c>
      <c r="G1404" s="84">
        <v>1409.46</v>
      </c>
      <c r="H1404" s="85">
        <v>0.08</v>
      </c>
      <c r="I1404" s="86">
        <f t="shared" si="42"/>
        <v>15560.438400000001</v>
      </c>
      <c r="J1404" s="86">
        <v>11501.19</v>
      </c>
      <c r="K1404" s="86">
        <f t="shared" si="43"/>
        <v>4059.2484000000004</v>
      </c>
      <c r="L1404" s="87" t="s">
        <v>67</v>
      </c>
      <c r="M1404" s="87" t="s">
        <v>68</v>
      </c>
      <c r="N1404" s="88" t="s">
        <v>61</v>
      </c>
    </row>
    <row r="1405" spans="1:14">
      <c r="A1405" s="81">
        <v>46351</v>
      </c>
      <c r="B1405" s="82" t="s">
        <v>1473</v>
      </c>
      <c r="C1405" s="82" t="s">
        <v>36</v>
      </c>
      <c r="D1405" s="82" t="s">
        <v>27</v>
      </c>
      <c r="E1405" s="82" t="s">
        <v>25</v>
      </c>
      <c r="F1405" s="83">
        <v>2</v>
      </c>
      <c r="G1405" s="84">
        <v>1456.53</v>
      </c>
      <c r="H1405" s="85">
        <v>0.08</v>
      </c>
      <c r="I1405" s="86">
        <f t="shared" si="42"/>
        <v>2680.0152000000003</v>
      </c>
      <c r="J1405" s="86">
        <v>1980.88</v>
      </c>
      <c r="K1405" s="86">
        <f t="shared" si="43"/>
        <v>699.13520000000017</v>
      </c>
      <c r="L1405" s="87" t="s">
        <v>63</v>
      </c>
      <c r="M1405" s="87" t="s">
        <v>68</v>
      </c>
      <c r="N1405" s="88" t="s">
        <v>65</v>
      </c>
    </row>
    <row r="1406" spans="1:14">
      <c r="A1406" s="81">
        <v>46352</v>
      </c>
      <c r="B1406" s="82" t="s">
        <v>1474</v>
      </c>
      <c r="C1406" s="82" t="s">
        <v>36</v>
      </c>
      <c r="D1406" s="82" t="s">
        <v>27</v>
      </c>
      <c r="E1406" s="82" t="s">
        <v>25</v>
      </c>
      <c r="F1406" s="83">
        <v>6</v>
      </c>
      <c r="G1406" s="84">
        <v>1401.59</v>
      </c>
      <c r="H1406" s="85">
        <v>0.1</v>
      </c>
      <c r="I1406" s="86">
        <f t="shared" si="42"/>
        <v>7568.5859999999993</v>
      </c>
      <c r="J1406" s="86">
        <v>5718.49</v>
      </c>
      <c r="K1406" s="86">
        <f t="shared" si="43"/>
        <v>1850.0959999999995</v>
      </c>
      <c r="L1406" s="87" t="s">
        <v>63</v>
      </c>
      <c r="M1406" s="87" t="s">
        <v>64</v>
      </c>
      <c r="N1406" s="88" t="s">
        <v>61</v>
      </c>
    </row>
    <row r="1407" spans="1:14">
      <c r="A1407" s="81">
        <v>46355</v>
      </c>
      <c r="B1407" s="82" t="s">
        <v>1475</v>
      </c>
      <c r="C1407" s="82" t="s">
        <v>31</v>
      </c>
      <c r="D1407" s="82" t="s">
        <v>32</v>
      </c>
      <c r="E1407" s="82" t="s">
        <v>46</v>
      </c>
      <c r="F1407" s="83">
        <v>3</v>
      </c>
      <c r="G1407" s="84">
        <v>117.69</v>
      </c>
      <c r="H1407" s="85">
        <v>0.03</v>
      </c>
      <c r="I1407" s="86">
        <f t="shared" si="42"/>
        <v>342.47789999999998</v>
      </c>
      <c r="J1407" s="86">
        <v>169.47</v>
      </c>
      <c r="K1407" s="86">
        <f t="shared" si="43"/>
        <v>173.00789999999998</v>
      </c>
      <c r="L1407" s="87" t="s">
        <v>59</v>
      </c>
      <c r="M1407" s="87" t="s">
        <v>60</v>
      </c>
      <c r="N1407" s="88" t="s">
        <v>61</v>
      </c>
    </row>
    <row r="1408" spans="1:14">
      <c r="A1408" s="81">
        <v>46356</v>
      </c>
      <c r="B1408" s="82" t="s">
        <v>1476</v>
      </c>
      <c r="C1408" s="82" t="s">
        <v>40</v>
      </c>
      <c r="D1408" s="82" t="s">
        <v>32</v>
      </c>
      <c r="E1408" s="82" t="s">
        <v>39</v>
      </c>
      <c r="F1408" s="83">
        <v>3</v>
      </c>
      <c r="G1408" s="84">
        <v>517.97</v>
      </c>
      <c r="H1408" s="85">
        <v>0.03</v>
      </c>
      <c r="I1408" s="86">
        <f t="shared" si="42"/>
        <v>1507.2927</v>
      </c>
      <c r="J1408" s="86">
        <v>885.73</v>
      </c>
      <c r="K1408" s="86">
        <f t="shared" si="43"/>
        <v>621.56269999999995</v>
      </c>
      <c r="L1408" s="87" t="s">
        <v>67</v>
      </c>
      <c r="M1408" s="87" t="s">
        <v>64</v>
      </c>
      <c r="N1408" s="88" t="s">
        <v>71</v>
      </c>
    </row>
    <row r="1409" spans="1:14">
      <c r="A1409" s="81">
        <v>46356</v>
      </c>
      <c r="B1409" s="82" t="s">
        <v>1477</v>
      </c>
      <c r="C1409" s="82" t="s">
        <v>36</v>
      </c>
      <c r="D1409" s="82" t="s">
        <v>27</v>
      </c>
      <c r="E1409" s="82" t="s">
        <v>35</v>
      </c>
      <c r="F1409" s="83">
        <v>5</v>
      </c>
      <c r="G1409" s="84">
        <v>436.86</v>
      </c>
      <c r="H1409" s="85">
        <v>0.03</v>
      </c>
      <c r="I1409" s="86">
        <f t="shared" si="42"/>
        <v>2118.7710000000002</v>
      </c>
      <c r="J1409" s="86">
        <v>1310.58</v>
      </c>
      <c r="K1409" s="86">
        <f t="shared" si="43"/>
        <v>808.19100000000026</v>
      </c>
      <c r="L1409" s="87" t="s">
        <v>59</v>
      </c>
      <c r="M1409" s="87" t="s">
        <v>60</v>
      </c>
      <c r="N1409" s="88" t="s">
        <v>69</v>
      </c>
    </row>
    <row r="1410" spans="1:14">
      <c r="A1410" s="81">
        <v>46356</v>
      </c>
      <c r="B1410" s="82" t="s">
        <v>1478</v>
      </c>
      <c r="C1410" s="82" t="s">
        <v>40</v>
      </c>
      <c r="D1410" s="82" t="s">
        <v>32</v>
      </c>
      <c r="E1410" s="82" t="s">
        <v>42</v>
      </c>
      <c r="F1410" s="83">
        <v>3</v>
      </c>
      <c r="G1410" s="84">
        <v>879.77</v>
      </c>
      <c r="H1410" s="85">
        <v>0.1</v>
      </c>
      <c r="I1410" s="86">
        <f t="shared" ref="I1410:I1473" si="44">F1410*G1410*(1-H1410)</f>
        <v>2375.3789999999999</v>
      </c>
      <c r="J1410" s="86">
        <v>1609.98</v>
      </c>
      <c r="K1410" s="86">
        <f t="shared" ref="K1410:K1473" si="45">I1410-J1410</f>
        <v>765.39899999999989</v>
      </c>
      <c r="L1410" s="87" t="s">
        <v>63</v>
      </c>
      <c r="M1410" s="87" t="s">
        <v>68</v>
      </c>
      <c r="N1410" s="88" t="s">
        <v>69</v>
      </c>
    </row>
    <row r="1411" spans="1:14">
      <c r="A1411" s="81">
        <v>46358</v>
      </c>
      <c r="B1411" s="82" t="s">
        <v>1479</v>
      </c>
      <c r="C1411" s="82" t="s">
        <v>40</v>
      </c>
      <c r="D1411" s="82" t="s">
        <v>27</v>
      </c>
      <c r="E1411" s="82" t="s">
        <v>30</v>
      </c>
      <c r="F1411" s="83">
        <v>4</v>
      </c>
      <c r="G1411" s="84">
        <v>737.71</v>
      </c>
      <c r="H1411" s="85">
        <v>0</v>
      </c>
      <c r="I1411" s="86">
        <f t="shared" si="44"/>
        <v>2950.84</v>
      </c>
      <c r="J1411" s="86">
        <v>1888.54</v>
      </c>
      <c r="K1411" s="86">
        <f t="shared" si="45"/>
        <v>1062.3000000000002</v>
      </c>
      <c r="L1411" s="87" t="s">
        <v>59</v>
      </c>
      <c r="M1411" s="87" t="s">
        <v>64</v>
      </c>
      <c r="N1411" s="88" t="s">
        <v>71</v>
      </c>
    </row>
    <row r="1412" spans="1:14">
      <c r="A1412" s="81">
        <v>46359</v>
      </c>
      <c r="B1412" s="82" t="s">
        <v>1480</v>
      </c>
      <c r="C1412" s="82" t="s">
        <v>40</v>
      </c>
      <c r="D1412" s="82" t="s">
        <v>37</v>
      </c>
      <c r="E1412" s="82" t="s">
        <v>48</v>
      </c>
      <c r="F1412" s="83">
        <v>2</v>
      </c>
      <c r="G1412" s="84">
        <v>77.069999999999993</v>
      </c>
      <c r="H1412" s="85">
        <v>0.03</v>
      </c>
      <c r="I1412" s="86">
        <f t="shared" si="44"/>
        <v>149.51579999999998</v>
      </c>
      <c r="J1412" s="86">
        <v>64.739999999999995</v>
      </c>
      <c r="K1412" s="86">
        <f t="shared" si="45"/>
        <v>84.77579999999999</v>
      </c>
      <c r="L1412" s="87" t="s">
        <v>67</v>
      </c>
      <c r="M1412" s="87" t="s">
        <v>60</v>
      </c>
      <c r="N1412" s="88" t="s">
        <v>78</v>
      </c>
    </row>
    <row r="1413" spans="1:14">
      <c r="A1413" s="81">
        <v>46359</v>
      </c>
      <c r="B1413" s="82" t="s">
        <v>1481</v>
      </c>
      <c r="C1413" s="82" t="s">
        <v>40</v>
      </c>
      <c r="D1413" s="82" t="s">
        <v>27</v>
      </c>
      <c r="E1413" s="82" t="s">
        <v>25</v>
      </c>
      <c r="F1413" s="83">
        <v>5</v>
      </c>
      <c r="G1413" s="84">
        <v>1436.3</v>
      </c>
      <c r="H1413" s="85">
        <v>0.1</v>
      </c>
      <c r="I1413" s="86">
        <f t="shared" si="44"/>
        <v>6463.35</v>
      </c>
      <c r="J1413" s="86">
        <v>4883.42</v>
      </c>
      <c r="K1413" s="86">
        <f t="shared" si="45"/>
        <v>1579.9300000000003</v>
      </c>
      <c r="L1413" s="87" t="s">
        <v>63</v>
      </c>
      <c r="M1413" s="87" t="s">
        <v>60</v>
      </c>
      <c r="N1413" s="88" t="s">
        <v>78</v>
      </c>
    </row>
    <row r="1414" spans="1:14">
      <c r="A1414" s="81">
        <v>46359</v>
      </c>
      <c r="B1414" s="82" t="s">
        <v>1482</v>
      </c>
      <c r="C1414" s="82" t="s">
        <v>40</v>
      </c>
      <c r="D1414" s="82" t="s">
        <v>32</v>
      </c>
      <c r="E1414" s="82" t="s">
        <v>39</v>
      </c>
      <c r="F1414" s="83">
        <v>10</v>
      </c>
      <c r="G1414" s="84">
        <v>500.42</v>
      </c>
      <c r="H1414" s="85">
        <v>0</v>
      </c>
      <c r="I1414" s="86">
        <f t="shared" si="44"/>
        <v>5004.2</v>
      </c>
      <c r="J1414" s="86">
        <v>2852.39</v>
      </c>
      <c r="K1414" s="86">
        <f t="shared" si="45"/>
        <v>2151.81</v>
      </c>
      <c r="L1414" s="87" t="s">
        <v>59</v>
      </c>
      <c r="M1414" s="87" t="s">
        <v>68</v>
      </c>
      <c r="N1414" s="88" t="s">
        <v>78</v>
      </c>
    </row>
    <row r="1415" spans="1:14">
      <c r="A1415" s="81">
        <v>46360</v>
      </c>
      <c r="B1415" s="82" t="s">
        <v>1483</v>
      </c>
      <c r="C1415" s="82" t="s">
        <v>26</v>
      </c>
      <c r="D1415" s="82" t="s">
        <v>32</v>
      </c>
      <c r="E1415" s="82" t="s">
        <v>42</v>
      </c>
      <c r="F1415" s="83">
        <v>6</v>
      </c>
      <c r="G1415" s="84">
        <v>909.25</v>
      </c>
      <c r="H1415" s="85">
        <v>0</v>
      </c>
      <c r="I1415" s="86">
        <f t="shared" si="44"/>
        <v>5455.5</v>
      </c>
      <c r="J1415" s="86">
        <v>3327.86</v>
      </c>
      <c r="K1415" s="86">
        <f t="shared" si="45"/>
        <v>2127.64</v>
      </c>
      <c r="L1415" s="87" t="s">
        <v>67</v>
      </c>
      <c r="M1415" s="87" t="s">
        <v>68</v>
      </c>
      <c r="N1415" s="88" t="s">
        <v>65</v>
      </c>
    </row>
    <row r="1416" spans="1:14">
      <c r="A1416" s="81">
        <v>46360</v>
      </c>
      <c r="B1416" s="82" t="s">
        <v>1484</v>
      </c>
      <c r="C1416" s="82" t="s">
        <v>36</v>
      </c>
      <c r="D1416" s="82" t="s">
        <v>32</v>
      </c>
      <c r="E1416" s="82" t="s">
        <v>46</v>
      </c>
      <c r="F1416" s="83">
        <v>10</v>
      </c>
      <c r="G1416" s="84">
        <v>115.8</v>
      </c>
      <c r="H1416" s="85">
        <v>0.08</v>
      </c>
      <c r="I1416" s="86">
        <f t="shared" si="44"/>
        <v>1065.3600000000001</v>
      </c>
      <c r="J1416" s="86">
        <v>555.84</v>
      </c>
      <c r="K1416" s="86">
        <f t="shared" si="45"/>
        <v>509.5200000000001</v>
      </c>
      <c r="L1416" s="87" t="s">
        <v>67</v>
      </c>
      <c r="M1416" s="87" t="s">
        <v>68</v>
      </c>
      <c r="N1416" s="88" t="s">
        <v>78</v>
      </c>
    </row>
    <row r="1417" spans="1:14">
      <c r="A1417" s="81">
        <v>46361</v>
      </c>
      <c r="B1417" s="82" t="s">
        <v>1485</v>
      </c>
      <c r="C1417" s="82" t="s">
        <v>26</v>
      </c>
      <c r="D1417" s="82" t="s">
        <v>27</v>
      </c>
      <c r="E1417" s="82" t="s">
        <v>25</v>
      </c>
      <c r="F1417" s="83">
        <v>14</v>
      </c>
      <c r="G1417" s="84">
        <v>1342</v>
      </c>
      <c r="H1417" s="85">
        <v>0.1</v>
      </c>
      <c r="I1417" s="86">
        <f t="shared" si="44"/>
        <v>16909.2</v>
      </c>
      <c r="J1417" s="86">
        <v>12775.84</v>
      </c>
      <c r="K1417" s="86">
        <f t="shared" si="45"/>
        <v>4133.3600000000006</v>
      </c>
      <c r="L1417" s="87" t="s">
        <v>67</v>
      </c>
      <c r="M1417" s="87" t="s">
        <v>68</v>
      </c>
      <c r="N1417" s="88" t="s">
        <v>69</v>
      </c>
    </row>
    <row r="1418" spans="1:14">
      <c r="A1418" s="81">
        <v>46361</v>
      </c>
      <c r="B1418" s="82" t="s">
        <v>1486</v>
      </c>
      <c r="C1418" s="82" t="s">
        <v>31</v>
      </c>
      <c r="D1418" s="82" t="s">
        <v>32</v>
      </c>
      <c r="E1418" s="82" t="s">
        <v>42</v>
      </c>
      <c r="F1418" s="83">
        <v>14</v>
      </c>
      <c r="G1418" s="84">
        <v>940.46</v>
      </c>
      <c r="H1418" s="85">
        <v>0.05</v>
      </c>
      <c r="I1418" s="86">
        <f t="shared" si="44"/>
        <v>12508.118</v>
      </c>
      <c r="J1418" s="86">
        <v>8031.53</v>
      </c>
      <c r="K1418" s="86">
        <f t="shared" si="45"/>
        <v>4476.5880000000006</v>
      </c>
      <c r="L1418" s="87" t="s">
        <v>63</v>
      </c>
      <c r="M1418" s="87" t="s">
        <v>68</v>
      </c>
      <c r="N1418" s="88" t="s">
        <v>71</v>
      </c>
    </row>
    <row r="1419" spans="1:14">
      <c r="A1419" s="81">
        <v>46361</v>
      </c>
      <c r="B1419" s="82" t="s">
        <v>1487</v>
      </c>
      <c r="C1419" s="82" t="s">
        <v>40</v>
      </c>
      <c r="D1419" s="82" t="s">
        <v>27</v>
      </c>
      <c r="E1419" s="82" t="s">
        <v>25</v>
      </c>
      <c r="F1419" s="83">
        <v>2</v>
      </c>
      <c r="G1419" s="84">
        <v>1351.58</v>
      </c>
      <c r="H1419" s="85">
        <v>0.12</v>
      </c>
      <c r="I1419" s="86">
        <f t="shared" si="44"/>
        <v>2378.7808</v>
      </c>
      <c r="J1419" s="86">
        <v>1838.15</v>
      </c>
      <c r="K1419" s="86">
        <f t="shared" si="45"/>
        <v>540.63079999999991</v>
      </c>
      <c r="L1419" s="87" t="s">
        <v>63</v>
      </c>
      <c r="M1419" s="87" t="s">
        <v>60</v>
      </c>
      <c r="N1419" s="88" t="s">
        <v>71</v>
      </c>
    </row>
    <row r="1420" spans="1:14">
      <c r="A1420" s="81">
        <v>46362</v>
      </c>
      <c r="B1420" s="82" t="s">
        <v>1488</v>
      </c>
      <c r="C1420" s="82" t="s">
        <v>40</v>
      </c>
      <c r="D1420" s="82" t="s">
        <v>32</v>
      </c>
      <c r="E1420" s="82" t="s">
        <v>42</v>
      </c>
      <c r="F1420" s="83">
        <v>9</v>
      </c>
      <c r="G1420" s="84">
        <v>915.62</v>
      </c>
      <c r="H1420" s="85">
        <v>0.12</v>
      </c>
      <c r="I1420" s="86">
        <f t="shared" si="44"/>
        <v>7251.7103999999999</v>
      </c>
      <c r="J1420" s="86">
        <v>5026.75</v>
      </c>
      <c r="K1420" s="86">
        <f t="shared" si="45"/>
        <v>2224.9603999999999</v>
      </c>
      <c r="L1420" s="87" t="s">
        <v>63</v>
      </c>
      <c r="M1420" s="87" t="s">
        <v>64</v>
      </c>
      <c r="N1420" s="88" t="s">
        <v>61</v>
      </c>
    </row>
    <row r="1421" spans="1:14">
      <c r="A1421" s="81">
        <v>46362</v>
      </c>
      <c r="B1421" s="82" t="s">
        <v>1489</v>
      </c>
      <c r="C1421" s="82" t="s">
        <v>40</v>
      </c>
      <c r="D1421" s="82" t="s">
        <v>32</v>
      </c>
      <c r="E1421" s="82" t="s">
        <v>39</v>
      </c>
      <c r="F1421" s="83">
        <v>5</v>
      </c>
      <c r="G1421" s="84">
        <v>520.47</v>
      </c>
      <c r="H1421" s="85">
        <v>0.05</v>
      </c>
      <c r="I1421" s="86">
        <f t="shared" si="44"/>
        <v>2472.2325000000001</v>
      </c>
      <c r="J1421" s="86">
        <v>1483.34</v>
      </c>
      <c r="K1421" s="86">
        <f t="shared" si="45"/>
        <v>988.89250000000015</v>
      </c>
      <c r="L1421" s="87" t="s">
        <v>63</v>
      </c>
      <c r="M1421" s="87" t="s">
        <v>64</v>
      </c>
      <c r="N1421" s="88" t="s">
        <v>71</v>
      </c>
    </row>
    <row r="1422" spans="1:14">
      <c r="A1422" s="81">
        <v>46363</v>
      </c>
      <c r="B1422" s="82" t="s">
        <v>1490</v>
      </c>
      <c r="C1422" s="82" t="s">
        <v>26</v>
      </c>
      <c r="D1422" s="82" t="s">
        <v>32</v>
      </c>
      <c r="E1422" s="82" t="s">
        <v>42</v>
      </c>
      <c r="F1422" s="83">
        <v>12</v>
      </c>
      <c r="G1422" s="84">
        <v>950.32</v>
      </c>
      <c r="H1422" s="85">
        <v>0.1</v>
      </c>
      <c r="I1422" s="86">
        <f t="shared" si="44"/>
        <v>10263.456</v>
      </c>
      <c r="J1422" s="86">
        <v>6956.34</v>
      </c>
      <c r="K1422" s="86">
        <f t="shared" si="45"/>
        <v>3307.116</v>
      </c>
      <c r="L1422" s="87" t="s">
        <v>59</v>
      </c>
      <c r="M1422" s="87" t="s">
        <v>68</v>
      </c>
      <c r="N1422" s="88" t="s">
        <v>65</v>
      </c>
    </row>
    <row r="1423" spans="1:14">
      <c r="A1423" s="81">
        <v>46364</v>
      </c>
      <c r="B1423" s="82" t="s">
        <v>1491</v>
      </c>
      <c r="C1423" s="82" t="s">
        <v>36</v>
      </c>
      <c r="D1423" s="82" t="s">
        <v>37</v>
      </c>
      <c r="E1423" s="82" t="s">
        <v>48</v>
      </c>
      <c r="F1423" s="83">
        <v>5</v>
      </c>
      <c r="G1423" s="84">
        <v>78.489999999999995</v>
      </c>
      <c r="H1423" s="85">
        <v>0.1</v>
      </c>
      <c r="I1423" s="86">
        <f t="shared" si="44"/>
        <v>353.20499999999998</v>
      </c>
      <c r="J1423" s="86">
        <v>164.83</v>
      </c>
      <c r="K1423" s="86">
        <f t="shared" si="45"/>
        <v>188.37499999999997</v>
      </c>
      <c r="L1423" s="87" t="s">
        <v>59</v>
      </c>
      <c r="M1423" s="87" t="s">
        <v>68</v>
      </c>
      <c r="N1423" s="88" t="s">
        <v>69</v>
      </c>
    </row>
    <row r="1424" spans="1:14">
      <c r="A1424" s="81">
        <v>46364</v>
      </c>
      <c r="B1424" s="82" t="s">
        <v>1492</v>
      </c>
      <c r="C1424" s="82" t="s">
        <v>31</v>
      </c>
      <c r="D1424" s="82" t="s">
        <v>37</v>
      </c>
      <c r="E1424" s="82" t="s">
        <v>48</v>
      </c>
      <c r="F1424" s="83">
        <v>8</v>
      </c>
      <c r="G1424" s="84">
        <v>81.02</v>
      </c>
      <c r="H1424" s="85">
        <v>0.03</v>
      </c>
      <c r="I1424" s="86">
        <f t="shared" si="44"/>
        <v>628.71519999999998</v>
      </c>
      <c r="J1424" s="86">
        <v>272.23</v>
      </c>
      <c r="K1424" s="86">
        <f t="shared" si="45"/>
        <v>356.48519999999996</v>
      </c>
      <c r="L1424" s="87" t="s">
        <v>59</v>
      </c>
      <c r="M1424" s="87" t="s">
        <v>68</v>
      </c>
      <c r="N1424" s="88" t="s">
        <v>71</v>
      </c>
    </row>
    <row r="1425" spans="1:14">
      <c r="A1425" s="81">
        <v>46365</v>
      </c>
      <c r="B1425" s="82" t="s">
        <v>1493</v>
      </c>
      <c r="C1425" s="82" t="s">
        <v>36</v>
      </c>
      <c r="D1425" s="82" t="s">
        <v>32</v>
      </c>
      <c r="E1425" s="82" t="s">
        <v>39</v>
      </c>
      <c r="F1425" s="83">
        <v>8</v>
      </c>
      <c r="G1425" s="84">
        <v>532.21</v>
      </c>
      <c r="H1425" s="85">
        <v>0.08</v>
      </c>
      <c r="I1425" s="86">
        <f t="shared" si="44"/>
        <v>3917.0656000000004</v>
      </c>
      <c r="J1425" s="86">
        <v>2426.88</v>
      </c>
      <c r="K1425" s="86">
        <f t="shared" si="45"/>
        <v>1490.1856000000002</v>
      </c>
      <c r="L1425" s="87" t="s">
        <v>67</v>
      </c>
      <c r="M1425" s="87" t="s">
        <v>60</v>
      </c>
      <c r="N1425" s="88" t="s">
        <v>71</v>
      </c>
    </row>
    <row r="1426" spans="1:14">
      <c r="A1426" s="81">
        <v>46365</v>
      </c>
      <c r="B1426" s="82" t="s">
        <v>1494</v>
      </c>
      <c r="C1426" s="82" t="s">
        <v>26</v>
      </c>
      <c r="D1426" s="82" t="s">
        <v>27</v>
      </c>
      <c r="E1426" s="82" t="s">
        <v>35</v>
      </c>
      <c r="F1426" s="83">
        <v>8</v>
      </c>
      <c r="G1426" s="84">
        <v>417.28</v>
      </c>
      <c r="H1426" s="85">
        <v>0.05</v>
      </c>
      <c r="I1426" s="86">
        <f t="shared" si="44"/>
        <v>3171.3279999999995</v>
      </c>
      <c r="J1426" s="86">
        <v>2002.94</v>
      </c>
      <c r="K1426" s="86">
        <f t="shared" si="45"/>
        <v>1168.3879999999995</v>
      </c>
      <c r="L1426" s="87" t="s">
        <v>59</v>
      </c>
      <c r="M1426" s="87" t="s">
        <v>60</v>
      </c>
      <c r="N1426" s="88" t="s">
        <v>69</v>
      </c>
    </row>
    <row r="1427" spans="1:14">
      <c r="A1427" s="81">
        <v>46366</v>
      </c>
      <c r="B1427" s="82" t="s">
        <v>1495</v>
      </c>
      <c r="C1427" s="82" t="s">
        <v>40</v>
      </c>
      <c r="D1427" s="82" t="s">
        <v>32</v>
      </c>
      <c r="E1427" s="82" t="s">
        <v>39</v>
      </c>
      <c r="F1427" s="83">
        <v>7</v>
      </c>
      <c r="G1427" s="84">
        <v>535.02</v>
      </c>
      <c r="H1427" s="85">
        <v>0</v>
      </c>
      <c r="I1427" s="86">
        <f t="shared" si="44"/>
        <v>3745.14</v>
      </c>
      <c r="J1427" s="86">
        <v>2134.73</v>
      </c>
      <c r="K1427" s="86">
        <f t="shared" si="45"/>
        <v>1610.4099999999999</v>
      </c>
      <c r="L1427" s="87" t="s">
        <v>67</v>
      </c>
      <c r="M1427" s="87" t="s">
        <v>64</v>
      </c>
      <c r="N1427" s="88" t="s">
        <v>71</v>
      </c>
    </row>
    <row r="1428" spans="1:14">
      <c r="A1428" s="81">
        <v>46367</v>
      </c>
      <c r="B1428" s="82" t="s">
        <v>1496</v>
      </c>
      <c r="C1428" s="82" t="s">
        <v>31</v>
      </c>
      <c r="D1428" s="82" t="s">
        <v>27</v>
      </c>
      <c r="E1428" s="82" t="s">
        <v>30</v>
      </c>
      <c r="F1428" s="83">
        <v>9</v>
      </c>
      <c r="G1428" s="84">
        <v>718.43</v>
      </c>
      <c r="H1428" s="85">
        <v>0.08</v>
      </c>
      <c r="I1428" s="86">
        <f t="shared" si="44"/>
        <v>5948.6004000000003</v>
      </c>
      <c r="J1428" s="86">
        <v>4138.16</v>
      </c>
      <c r="K1428" s="86">
        <f t="shared" si="45"/>
        <v>1810.4404000000004</v>
      </c>
      <c r="L1428" s="87" t="s">
        <v>67</v>
      </c>
      <c r="M1428" s="87" t="s">
        <v>60</v>
      </c>
      <c r="N1428" s="88" t="s">
        <v>65</v>
      </c>
    </row>
    <row r="1429" spans="1:14">
      <c r="A1429" s="81">
        <v>46369</v>
      </c>
      <c r="B1429" s="82" t="s">
        <v>1497</v>
      </c>
      <c r="C1429" s="82" t="s">
        <v>40</v>
      </c>
      <c r="D1429" s="82" t="s">
        <v>27</v>
      </c>
      <c r="E1429" s="82" t="s">
        <v>35</v>
      </c>
      <c r="F1429" s="83">
        <v>5</v>
      </c>
      <c r="G1429" s="84">
        <v>447.56</v>
      </c>
      <c r="H1429" s="85">
        <v>0.03</v>
      </c>
      <c r="I1429" s="86">
        <f t="shared" si="44"/>
        <v>2170.6660000000002</v>
      </c>
      <c r="J1429" s="86">
        <v>1342.68</v>
      </c>
      <c r="K1429" s="86">
        <f t="shared" si="45"/>
        <v>827.9860000000001</v>
      </c>
      <c r="L1429" s="87" t="s">
        <v>59</v>
      </c>
      <c r="M1429" s="87" t="s">
        <v>64</v>
      </c>
      <c r="N1429" s="88" t="s">
        <v>74</v>
      </c>
    </row>
    <row r="1430" spans="1:14">
      <c r="A1430" s="81">
        <v>46369</v>
      </c>
      <c r="B1430" s="82" t="s">
        <v>1498</v>
      </c>
      <c r="C1430" s="82" t="s">
        <v>40</v>
      </c>
      <c r="D1430" s="82" t="s">
        <v>37</v>
      </c>
      <c r="E1430" s="82" t="s">
        <v>48</v>
      </c>
      <c r="F1430" s="83">
        <v>13</v>
      </c>
      <c r="G1430" s="84">
        <v>82.08</v>
      </c>
      <c r="H1430" s="85">
        <v>0</v>
      </c>
      <c r="I1430" s="86">
        <f t="shared" si="44"/>
        <v>1067.04</v>
      </c>
      <c r="J1430" s="86">
        <v>448.16</v>
      </c>
      <c r="K1430" s="86">
        <f t="shared" si="45"/>
        <v>618.87999999999988</v>
      </c>
      <c r="L1430" s="87" t="s">
        <v>59</v>
      </c>
      <c r="M1430" s="87" t="s">
        <v>68</v>
      </c>
      <c r="N1430" s="88" t="s">
        <v>65</v>
      </c>
    </row>
    <row r="1431" spans="1:14">
      <c r="A1431" s="81">
        <v>46371</v>
      </c>
      <c r="B1431" s="82" t="s">
        <v>1499</v>
      </c>
      <c r="C1431" s="82" t="s">
        <v>26</v>
      </c>
      <c r="D1431" s="82" t="s">
        <v>32</v>
      </c>
      <c r="E1431" s="82" t="s">
        <v>39</v>
      </c>
      <c r="F1431" s="83">
        <v>2</v>
      </c>
      <c r="G1431" s="84">
        <v>512.80999999999995</v>
      </c>
      <c r="H1431" s="85">
        <v>0.03</v>
      </c>
      <c r="I1431" s="86">
        <f t="shared" si="44"/>
        <v>994.8513999999999</v>
      </c>
      <c r="J1431" s="86">
        <v>584.6</v>
      </c>
      <c r="K1431" s="86">
        <f t="shared" si="45"/>
        <v>410.25139999999988</v>
      </c>
      <c r="L1431" s="87" t="s">
        <v>59</v>
      </c>
      <c r="M1431" s="87" t="s">
        <v>64</v>
      </c>
      <c r="N1431" s="88" t="s">
        <v>69</v>
      </c>
    </row>
    <row r="1432" spans="1:14">
      <c r="A1432" s="81">
        <v>46371</v>
      </c>
      <c r="B1432" s="82" t="s">
        <v>1500</v>
      </c>
      <c r="C1432" s="82" t="s">
        <v>40</v>
      </c>
      <c r="D1432" s="82" t="s">
        <v>27</v>
      </c>
      <c r="E1432" s="82" t="s">
        <v>25</v>
      </c>
      <c r="F1432" s="83">
        <v>6</v>
      </c>
      <c r="G1432" s="84">
        <v>1433.82</v>
      </c>
      <c r="H1432" s="85">
        <v>0.08</v>
      </c>
      <c r="I1432" s="86">
        <f t="shared" si="44"/>
        <v>7914.6864000000005</v>
      </c>
      <c r="J1432" s="86">
        <v>5849.99</v>
      </c>
      <c r="K1432" s="86">
        <f t="shared" si="45"/>
        <v>2064.6964000000007</v>
      </c>
      <c r="L1432" s="87" t="s">
        <v>67</v>
      </c>
      <c r="M1432" s="87" t="s">
        <v>60</v>
      </c>
      <c r="N1432" s="88" t="s">
        <v>69</v>
      </c>
    </row>
    <row r="1433" spans="1:14">
      <c r="A1433" s="81">
        <v>46373</v>
      </c>
      <c r="B1433" s="82" t="s">
        <v>1501</v>
      </c>
      <c r="C1433" s="82" t="s">
        <v>26</v>
      </c>
      <c r="D1433" s="82" t="s">
        <v>27</v>
      </c>
      <c r="E1433" s="82" t="s">
        <v>35</v>
      </c>
      <c r="F1433" s="83">
        <v>10</v>
      </c>
      <c r="G1433" s="84">
        <v>448.68</v>
      </c>
      <c r="H1433" s="85">
        <v>0</v>
      </c>
      <c r="I1433" s="86">
        <f t="shared" si="44"/>
        <v>4486.8</v>
      </c>
      <c r="J1433" s="86">
        <v>2692.08</v>
      </c>
      <c r="K1433" s="86">
        <f t="shared" si="45"/>
        <v>1794.7200000000003</v>
      </c>
      <c r="L1433" s="87" t="s">
        <v>59</v>
      </c>
      <c r="M1433" s="87" t="s">
        <v>64</v>
      </c>
      <c r="N1433" s="88" t="s">
        <v>61</v>
      </c>
    </row>
    <row r="1434" spans="1:14">
      <c r="A1434" s="81">
        <v>46373</v>
      </c>
      <c r="B1434" s="82" t="s">
        <v>1502</v>
      </c>
      <c r="C1434" s="82" t="s">
        <v>36</v>
      </c>
      <c r="D1434" s="82" t="s">
        <v>32</v>
      </c>
      <c r="E1434" s="82" t="s">
        <v>42</v>
      </c>
      <c r="F1434" s="83">
        <v>16</v>
      </c>
      <c r="G1434" s="84">
        <v>869.04</v>
      </c>
      <c r="H1434" s="85">
        <v>0</v>
      </c>
      <c r="I1434" s="86">
        <f t="shared" si="44"/>
        <v>13904.64</v>
      </c>
      <c r="J1434" s="86">
        <v>8481.83</v>
      </c>
      <c r="K1434" s="86">
        <f t="shared" si="45"/>
        <v>5422.8099999999995</v>
      </c>
      <c r="L1434" s="87" t="s">
        <v>67</v>
      </c>
      <c r="M1434" s="87" t="s">
        <v>68</v>
      </c>
      <c r="N1434" s="88" t="s">
        <v>71</v>
      </c>
    </row>
    <row r="1435" spans="1:14">
      <c r="A1435" s="81">
        <v>46374</v>
      </c>
      <c r="B1435" s="82" t="s">
        <v>1503</v>
      </c>
      <c r="C1435" s="82" t="s">
        <v>40</v>
      </c>
      <c r="D1435" s="82" t="s">
        <v>32</v>
      </c>
      <c r="E1435" s="82" t="s">
        <v>46</v>
      </c>
      <c r="F1435" s="83">
        <v>6</v>
      </c>
      <c r="G1435" s="84">
        <v>109.99</v>
      </c>
      <c r="H1435" s="85">
        <v>0.12</v>
      </c>
      <c r="I1435" s="86">
        <f t="shared" si="44"/>
        <v>580.74719999999991</v>
      </c>
      <c r="J1435" s="86">
        <v>316.77</v>
      </c>
      <c r="K1435" s="86">
        <f t="shared" si="45"/>
        <v>263.97719999999993</v>
      </c>
      <c r="L1435" s="87" t="s">
        <v>63</v>
      </c>
      <c r="M1435" s="87" t="s">
        <v>64</v>
      </c>
      <c r="N1435" s="88" t="s">
        <v>69</v>
      </c>
    </row>
    <row r="1436" spans="1:14">
      <c r="A1436" s="81">
        <v>46374</v>
      </c>
      <c r="B1436" s="82" t="s">
        <v>1504</v>
      </c>
      <c r="C1436" s="82" t="s">
        <v>31</v>
      </c>
      <c r="D1436" s="82" t="s">
        <v>32</v>
      </c>
      <c r="E1436" s="82" t="s">
        <v>46</v>
      </c>
      <c r="F1436" s="83">
        <v>2</v>
      </c>
      <c r="G1436" s="84">
        <v>118.44</v>
      </c>
      <c r="H1436" s="85">
        <v>0</v>
      </c>
      <c r="I1436" s="86">
        <f t="shared" si="44"/>
        <v>236.88</v>
      </c>
      <c r="J1436" s="86">
        <v>113.7</v>
      </c>
      <c r="K1436" s="86">
        <f t="shared" si="45"/>
        <v>123.17999999999999</v>
      </c>
      <c r="L1436" s="87" t="s">
        <v>67</v>
      </c>
      <c r="M1436" s="87" t="s">
        <v>60</v>
      </c>
      <c r="N1436" s="88" t="s">
        <v>69</v>
      </c>
    </row>
    <row r="1437" spans="1:14">
      <c r="A1437" s="81">
        <v>46375</v>
      </c>
      <c r="B1437" s="82" t="s">
        <v>1505</v>
      </c>
      <c r="C1437" s="82" t="s">
        <v>31</v>
      </c>
      <c r="D1437" s="82" t="s">
        <v>27</v>
      </c>
      <c r="E1437" s="82" t="s">
        <v>25</v>
      </c>
      <c r="F1437" s="83">
        <v>7</v>
      </c>
      <c r="G1437" s="84">
        <v>1357.75</v>
      </c>
      <c r="H1437" s="85">
        <v>0.03</v>
      </c>
      <c r="I1437" s="86">
        <f t="shared" si="44"/>
        <v>9219.1224999999995</v>
      </c>
      <c r="J1437" s="86">
        <v>6462.89</v>
      </c>
      <c r="K1437" s="86">
        <f t="shared" si="45"/>
        <v>2756.2324999999992</v>
      </c>
      <c r="L1437" s="87" t="s">
        <v>67</v>
      </c>
      <c r="M1437" s="87" t="s">
        <v>64</v>
      </c>
      <c r="N1437" s="88" t="s">
        <v>71</v>
      </c>
    </row>
    <row r="1438" spans="1:14">
      <c r="A1438" s="81">
        <v>46375</v>
      </c>
      <c r="B1438" s="82" t="s">
        <v>1506</v>
      </c>
      <c r="C1438" s="82" t="s">
        <v>31</v>
      </c>
      <c r="D1438" s="82" t="s">
        <v>27</v>
      </c>
      <c r="E1438" s="82" t="s">
        <v>30</v>
      </c>
      <c r="F1438" s="83">
        <v>9</v>
      </c>
      <c r="G1438" s="84">
        <v>749.19</v>
      </c>
      <c r="H1438" s="85">
        <v>0.1</v>
      </c>
      <c r="I1438" s="86">
        <f t="shared" si="44"/>
        <v>6068.4390000000012</v>
      </c>
      <c r="J1438" s="86">
        <v>4315.33</v>
      </c>
      <c r="K1438" s="86">
        <f t="shared" si="45"/>
        <v>1753.1090000000013</v>
      </c>
      <c r="L1438" s="87" t="s">
        <v>59</v>
      </c>
      <c r="M1438" s="87" t="s">
        <v>64</v>
      </c>
      <c r="N1438" s="88" t="s">
        <v>78</v>
      </c>
    </row>
    <row r="1439" spans="1:14">
      <c r="A1439" s="81">
        <v>46375</v>
      </c>
      <c r="B1439" s="82" t="s">
        <v>1507</v>
      </c>
      <c r="C1439" s="82" t="s">
        <v>31</v>
      </c>
      <c r="D1439" s="82" t="s">
        <v>27</v>
      </c>
      <c r="E1439" s="82" t="s">
        <v>30</v>
      </c>
      <c r="F1439" s="83">
        <v>11</v>
      </c>
      <c r="G1439" s="84">
        <v>755.35</v>
      </c>
      <c r="H1439" s="85">
        <v>0.03</v>
      </c>
      <c r="I1439" s="86">
        <f t="shared" si="44"/>
        <v>8059.5844999999999</v>
      </c>
      <c r="J1439" s="86">
        <v>5317.66</v>
      </c>
      <c r="K1439" s="86">
        <f t="shared" si="45"/>
        <v>2741.9245000000001</v>
      </c>
      <c r="L1439" s="87" t="s">
        <v>67</v>
      </c>
      <c r="M1439" s="87" t="s">
        <v>68</v>
      </c>
      <c r="N1439" s="88" t="s">
        <v>71</v>
      </c>
    </row>
    <row r="1440" spans="1:14">
      <c r="A1440" s="81">
        <v>46376</v>
      </c>
      <c r="B1440" s="82" t="s">
        <v>1508</v>
      </c>
      <c r="C1440" s="82" t="s">
        <v>31</v>
      </c>
      <c r="D1440" s="82" t="s">
        <v>27</v>
      </c>
      <c r="E1440" s="82" t="s">
        <v>25</v>
      </c>
      <c r="F1440" s="83">
        <v>16</v>
      </c>
      <c r="G1440" s="84">
        <v>1344.21</v>
      </c>
      <c r="H1440" s="85">
        <v>0.05</v>
      </c>
      <c r="I1440" s="86">
        <f t="shared" si="44"/>
        <v>20431.991999999998</v>
      </c>
      <c r="J1440" s="86">
        <v>14625</v>
      </c>
      <c r="K1440" s="86">
        <f t="shared" si="45"/>
        <v>5806.9919999999984</v>
      </c>
      <c r="L1440" s="87" t="s">
        <v>59</v>
      </c>
      <c r="M1440" s="87" t="s">
        <v>68</v>
      </c>
      <c r="N1440" s="88" t="s">
        <v>74</v>
      </c>
    </row>
    <row r="1441" spans="1:14">
      <c r="A1441" s="81">
        <v>46377</v>
      </c>
      <c r="B1441" s="82" t="s">
        <v>1509</v>
      </c>
      <c r="C1441" s="82" t="s">
        <v>36</v>
      </c>
      <c r="D1441" s="82" t="s">
        <v>37</v>
      </c>
      <c r="E1441" s="82" t="s">
        <v>47</v>
      </c>
      <c r="F1441" s="83">
        <v>2</v>
      </c>
      <c r="G1441" s="84">
        <v>148.91999999999999</v>
      </c>
      <c r="H1441" s="85">
        <v>0.12</v>
      </c>
      <c r="I1441" s="86">
        <f t="shared" si="44"/>
        <v>262.0992</v>
      </c>
      <c r="J1441" s="86">
        <v>137.01</v>
      </c>
      <c r="K1441" s="86">
        <f t="shared" si="45"/>
        <v>125.08920000000001</v>
      </c>
      <c r="L1441" s="87" t="s">
        <v>67</v>
      </c>
      <c r="M1441" s="87" t="s">
        <v>64</v>
      </c>
      <c r="N1441" s="88" t="s">
        <v>74</v>
      </c>
    </row>
    <row r="1442" spans="1:14">
      <c r="A1442" s="81">
        <v>46378</v>
      </c>
      <c r="B1442" s="82" t="s">
        <v>1510</v>
      </c>
      <c r="C1442" s="82" t="s">
        <v>26</v>
      </c>
      <c r="D1442" s="82" t="s">
        <v>32</v>
      </c>
      <c r="E1442" s="82" t="s">
        <v>46</v>
      </c>
      <c r="F1442" s="83">
        <v>6</v>
      </c>
      <c r="G1442" s="84">
        <v>110.7</v>
      </c>
      <c r="H1442" s="85">
        <v>0</v>
      </c>
      <c r="I1442" s="86">
        <f t="shared" si="44"/>
        <v>664.2</v>
      </c>
      <c r="J1442" s="86">
        <v>318.82</v>
      </c>
      <c r="K1442" s="86">
        <f t="shared" si="45"/>
        <v>345.38000000000005</v>
      </c>
      <c r="L1442" s="87" t="s">
        <v>63</v>
      </c>
      <c r="M1442" s="87" t="s">
        <v>60</v>
      </c>
      <c r="N1442" s="88" t="s">
        <v>71</v>
      </c>
    </row>
    <row r="1443" spans="1:14">
      <c r="A1443" s="81">
        <v>46378</v>
      </c>
      <c r="B1443" s="82" t="s">
        <v>1511</v>
      </c>
      <c r="C1443" s="82" t="s">
        <v>31</v>
      </c>
      <c r="D1443" s="82" t="s">
        <v>27</v>
      </c>
      <c r="E1443" s="82" t="s">
        <v>35</v>
      </c>
      <c r="F1443" s="83">
        <v>10</v>
      </c>
      <c r="G1443" s="84">
        <v>433.88</v>
      </c>
      <c r="H1443" s="85">
        <v>0.08</v>
      </c>
      <c r="I1443" s="86">
        <f t="shared" si="44"/>
        <v>3991.6960000000004</v>
      </c>
      <c r="J1443" s="86">
        <v>2603.2800000000002</v>
      </c>
      <c r="K1443" s="86">
        <f t="shared" si="45"/>
        <v>1388.4160000000002</v>
      </c>
      <c r="L1443" s="87" t="s">
        <v>63</v>
      </c>
      <c r="M1443" s="87" t="s">
        <v>68</v>
      </c>
      <c r="N1443" s="88" t="s">
        <v>61</v>
      </c>
    </row>
    <row r="1444" spans="1:14">
      <c r="A1444" s="81">
        <v>46378</v>
      </c>
      <c r="B1444" s="82" t="s">
        <v>1512</v>
      </c>
      <c r="C1444" s="82" t="s">
        <v>31</v>
      </c>
      <c r="D1444" s="82" t="s">
        <v>37</v>
      </c>
      <c r="E1444" s="82" t="s">
        <v>48</v>
      </c>
      <c r="F1444" s="83">
        <v>14</v>
      </c>
      <c r="G1444" s="84">
        <v>83.82</v>
      </c>
      <c r="H1444" s="85">
        <v>0.1</v>
      </c>
      <c r="I1444" s="86">
        <f t="shared" si="44"/>
        <v>1056.1320000000001</v>
      </c>
      <c r="J1444" s="86">
        <v>492.86</v>
      </c>
      <c r="K1444" s="86">
        <f t="shared" si="45"/>
        <v>563.27200000000005</v>
      </c>
      <c r="L1444" s="87" t="s">
        <v>67</v>
      </c>
      <c r="M1444" s="87" t="s">
        <v>68</v>
      </c>
      <c r="N1444" s="88" t="s">
        <v>78</v>
      </c>
    </row>
    <row r="1445" spans="1:14">
      <c r="A1445" s="81">
        <v>46379</v>
      </c>
      <c r="B1445" s="82" t="s">
        <v>1513</v>
      </c>
      <c r="C1445" s="82" t="s">
        <v>26</v>
      </c>
      <c r="D1445" s="82" t="s">
        <v>37</v>
      </c>
      <c r="E1445" s="82" t="s">
        <v>48</v>
      </c>
      <c r="F1445" s="83">
        <v>9</v>
      </c>
      <c r="G1445" s="84">
        <v>79.400000000000006</v>
      </c>
      <c r="H1445" s="85">
        <v>0.08</v>
      </c>
      <c r="I1445" s="86">
        <f t="shared" si="44"/>
        <v>657.43200000000002</v>
      </c>
      <c r="J1445" s="86">
        <v>300.13</v>
      </c>
      <c r="K1445" s="86">
        <f t="shared" si="45"/>
        <v>357.30200000000002</v>
      </c>
      <c r="L1445" s="87" t="s">
        <v>63</v>
      </c>
      <c r="M1445" s="87" t="s">
        <v>68</v>
      </c>
      <c r="N1445" s="88" t="s">
        <v>61</v>
      </c>
    </row>
    <row r="1446" spans="1:14">
      <c r="A1446" s="81">
        <v>46379</v>
      </c>
      <c r="B1446" s="82" t="s">
        <v>1514</v>
      </c>
      <c r="C1446" s="82" t="s">
        <v>26</v>
      </c>
      <c r="D1446" s="82" t="s">
        <v>27</v>
      </c>
      <c r="E1446" s="82" t="s">
        <v>25</v>
      </c>
      <c r="F1446" s="83">
        <v>13</v>
      </c>
      <c r="G1446" s="84">
        <v>1387.06</v>
      </c>
      <c r="H1446" s="85">
        <v>0.12</v>
      </c>
      <c r="I1446" s="86">
        <f t="shared" si="44"/>
        <v>15867.966399999999</v>
      </c>
      <c r="J1446" s="86">
        <v>12261.61</v>
      </c>
      <c r="K1446" s="86">
        <f t="shared" si="45"/>
        <v>3606.3563999999988</v>
      </c>
      <c r="L1446" s="87" t="s">
        <v>59</v>
      </c>
      <c r="M1446" s="87" t="s">
        <v>68</v>
      </c>
      <c r="N1446" s="88" t="s">
        <v>61</v>
      </c>
    </row>
    <row r="1447" spans="1:14">
      <c r="A1447" s="81">
        <v>46379</v>
      </c>
      <c r="B1447" s="82" t="s">
        <v>1515</v>
      </c>
      <c r="C1447" s="82" t="s">
        <v>36</v>
      </c>
      <c r="D1447" s="82" t="s">
        <v>37</v>
      </c>
      <c r="E1447" s="82" t="s">
        <v>48</v>
      </c>
      <c r="F1447" s="83">
        <v>4</v>
      </c>
      <c r="G1447" s="84">
        <v>78.22</v>
      </c>
      <c r="H1447" s="85">
        <v>0.1</v>
      </c>
      <c r="I1447" s="86">
        <f t="shared" si="44"/>
        <v>281.59199999999998</v>
      </c>
      <c r="J1447" s="86">
        <v>131.41</v>
      </c>
      <c r="K1447" s="86">
        <f t="shared" si="45"/>
        <v>150.18199999999999</v>
      </c>
      <c r="L1447" s="87" t="s">
        <v>63</v>
      </c>
      <c r="M1447" s="87" t="s">
        <v>60</v>
      </c>
      <c r="N1447" s="88" t="s">
        <v>78</v>
      </c>
    </row>
    <row r="1448" spans="1:14">
      <c r="A1448" s="81">
        <v>46379</v>
      </c>
      <c r="B1448" s="82" t="s">
        <v>1516</v>
      </c>
      <c r="C1448" s="82" t="s">
        <v>31</v>
      </c>
      <c r="D1448" s="82" t="s">
        <v>37</v>
      </c>
      <c r="E1448" s="82" t="s">
        <v>47</v>
      </c>
      <c r="F1448" s="83">
        <v>15</v>
      </c>
      <c r="G1448" s="84">
        <v>147.97999999999999</v>
      </c>
      <c r="H1448" s="85">
        <v>0.08</v>
      </c>
      <c r="I1448" s="86">
        <f t="shared" si="44"/>
        <v>2042.124</v>
      </c>
      <c r="J1448" s="86">
        <v>1021.06</v>
      </c>
      <c r="K1448" s="86">
        <f t="shared" si="45"/>
        <v>1021.0640000000001</v>
      </c>
      <c r="L1448" s="87" t="s">
        <v>63</v>
      </c>
      <c r="M1448" s="87" t="s">
        <v>68</v>
      </c>
      <c r="N1448" s="88" t="s">
        <v>61</v>
      </c>
    </row>
    <row r="1449" spans="1:14">
      <c r="A1449" s="81">
        <v>46382</v>
      </c>
      <c r="B1449" s="82" t="s">
        <v>1517</v>
      </c>
      <c r="C1449" s="82" t="s">
        <v>26</v>
      </c>
      <c r="D1449" s="82" t="s">
        <v>32</v>
      </c>
      <c r="E1449" s="82" t="s">
        <v>46</v>
      </c>
      <c r="F1449" s="83">
        <v>14</v>
      </c>
      <c r="G1449" s="84">
        <v>115.35</v>
      </c>
      <c r="H1449" s="85">
        <v>0.12</v>
      </c>
      <c r="I1449" s="86">
        <f t="shared" si="44"/>
        <v>1421.1119999999999</v>
      </c>
      <c r="J1449" s="86">
        <v>775.15</v>
      </c>
      <c r="K1449" s="86">
        <f t="shared" si="45"/>
        <v>645.96199999999988</v>
      </c>
      <c r="L1449" s="87" t="s">
        <v>67</v>
      </c>
      <c r="M1449" s="87" t="s">
        <v>68</v>
      </c>
      <c r="N1449" s="88" t="s">
        <v>61</v>
      </c>
    </row>
    <row r="1450" spans="1:14">
      <c r="A1450" s="81">
        <v>46387</v>
      </c>
      <c r="B1450" s="82" t="s">
        <v>1518</v>
      </c>
      <c r="C1450" s="82" t="s">
        <v>26</v>
      </c>
      <c r="D1450" s="82" t="s">
        <v>37</v>
      </c>
      <c r="E1450" s="82" t="s">
        <v>47</v>
      </c>
      <c r="F1450" s="83">
        <v>13</v>
      </c>
      <c r="G1450" s="84">
        <v>149.91999999999999</v>
      </c>
      <c r="H1450" s="85">
        <v>0.12</v>
      </c>
      <c r="I1450" s="86">
        <f t="shared" si="44"/>
        <v>1715.0847999999999</v>
      </c>
      <c r="J1450" s="86">
        <v>896.52</v>
      </c>
      <c r="K1450" s="86">
        <f t="shared" si="45"/>
        <v>818.56479999999988</v>
      </c>
      <c r="L1450" s="87" t="s">
        <v>63</v>
      </c>
      <c r="M1450" s="87" t="s">
        <v>68</v>
      </c>
      <c r="N1450" s="88" t="s">
        <v>71</v>
      </c>
    </row>
    <row r="1451" spans="1:14">
      <c r="A1451" s="89">
        <v>46387</v>
      </c>
      <c r="B1451" s="90" t="s">
        <v>1519</v>
      </c>
      <c r="C1451" s="90" t="s">
        <v>36</v>
      </c>
      <c r="D1451" s="90" t="s">
        <v>37</v>
      </c>
      <c r="E1451" s="90" t="s">
        <v>48</v>
      </c>
      <c r="F1451" s="91">
        <v>16</v>
      </c>
      <c r="G1451" s="92">
        <v>78.61</v>
      </c>
      <c r="H1451" s="93">
        <v>0.1</v>
      </c>
      <c r="I1451" s="94">
        <f t="shared" si="44"/>
        <v>1131.9839999999999</v>
      </c>
      <c r="J1451" s="94">
        <v>528.26</v>
      </c>
      <c r="K1451" s="94">
        <f t="shared" si="45"/>
        <v>603.72399999999993</v>
      </c>
      <c r="L1451" s="95" t="s">
        <v>63</v>
      </c>
      <c r="M1451" s="95" t="s">
        <v>68</v>
      </c>
      <c r="N1451" s="96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showGridLines="0" workbookViewId="0">
      <selection activeCell="E13" sqref="E13"/>
    </sheetView>
  </sheetViews>
  <sheetFormatPr defaultRowHeight="13.8"/>
  <cols>
    <col min="1" max="3" width="15" customWidth="1"/>
    <col min="4" max="4" width="18.5" bestFit="1" customWidth="1"/>
    <col min="5" max="6" width="15" customWidth="1"/>
    <col min="7" max="7" width="20" customWidth="1"/>
    <col min="8" max="14" width="15" customWidth="1"/>
  </cols>
  <sheetData>
    <row r="1" spans="1:16" ht="34.049999999999997" customHeight="1">
      <c r="A1" s="75" t="s">
        <v>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3" spans="1:16">
      <c r="A3" s="1" t="s">
        <v>16</v>
      </c>
      <c r="B3" s="97">
        <f>Dashboard!C5</f>
        <v>2026</v>
      </c>
      <c r="D3" s="3" t="s">
        <v>17</v>
      </c>
      <c r="E3" s="3" t="s">
        <v>18</v>
      </c>
      <c r="G3" s="3" t="s">
        <v>19</v>
      </c>
      <c r="H3" s="3" t="s">
        <v>20</v>
      </c>
      <c r="J3" s="3" t="s">
        <v>21</v>
      </c>
      <c r="K3" s="3" t="s">
        <v>20</v>
      </c>
      <c r="M3" s="3" t="s">
        <v>22</v>
      </c>
      <c r="N3" s="3" t="s">
        <v>20</v>
      </c>
    </row>
    <row r="4" spans="1:16">
      <c r="A4" s="1" t="s">
        <v>23</v>
      </c>
      <c r="B4" s="98" t="str">
        <f>Dashboard!H5</f>
        <v>All</v>
      </c>
      <c r="D4" s="2" t="s">
        <v>24</v>
      </c>
      <c r="E4" s="4">
        <f>SUMIFS('Sales Data'!$I$2:$I$1451,'Sales Data'!$A$2:$A$1451,"&gt;="&amp;DATE($B$3,1,1),'Sales Data'!$A$2:$A$1451,"&lt;"&amp;DATE($B$3+1,1,1),'Sales Data'!$C$2:$C$1451,IF($B$4="All","*",$B$4),'Sales Data'!$D$2:$D$1451,IF($B$5="All","*",$B$5))</f>
        <v>1468806.4559000016</v>
      </c>
      <c r="G4" s="2" t="s">
        <v>25</v>
      </c>
      <c r="H4" s="4">
        <f>SUMIFS('Sales Data'!$I$2:$I$1451,'Sales Data'!$E$2:$E$1451,G4,'Sales Data'!$A$2:$A$1451,"&gt;="&amp;DATE($B$3,1,1),'Sales Data'!$A$2:$A$1451,"&lt;"&amp;DATE($B$3+1,1,1),'Sales Data'!$C$2:$C$1451,IF($B$4="All","*",$B$4),'Sales Data'!$D$2:$D$1451,IF($B$5="All","*",$B$5))</f>
        <v>417500.22810000001</v>
      </c>
      <c r="J4" s="2" t="s">
        <v>26</v>
      </c>
      <c r="K4" s="4">
        <f>SUMIFS('Sales Data'!$I$2:$I$1451,'Sales Data'!$C$2:$C$1451,J4,'Sales Data'!$A$2:$A$1451,"&gt;="&amp;DATE($B$3,1,1),'Sales Data'!$A$2:$A$1451,"&lt;"&amp;DATE($B$3+1,1,1),'Sales Data'!$D$2:$D$1451,IF($B$5="All","*",$B$5))</f>
        <v>324160.11409999995</v>
      </c>
      <c r="M4" s="2" t="s">
        <v>27</v>
      </c>
      <c r="N4" s="4">
        <f>SUMIFS('Sales Data'!$I$2:$I$1451,'Sales Data'!$D$2:$D$1451,M4,'Sales Data'!$A$2:$A$1451,"&gt;="&amp;DATE($B$3,1,1),'Sales Data'!$A$2:$A$1451,"&lt;"&amp;DATE($B$3+1,1,1),'Sales Data'!$C$2:$C$1451,IF($B$4="All","*",$B$4))</f>
        <v>836913.19239999948</v>
      </c>
    </row>
    <row r="5" spans="1:16">
      <c r="A5" s="1" t="s">
        <v>28</v>
      </c>
      <c r="B5" s="98" t="str">
        <f>Dashboard!N5</f>
        <v>All</v>
      </c>
      <c r="D5" s="2" t="s">
        <v>29</v>
      </c>
      <c r="E5" s="4">
        <f>SUMIFS('Sales Data'!$K$2:$K$1451,'Sales Data'!$A$2:$A$1451,"&gt;="&amp;DATE($B$3,1,1),'Sales Data'!$A$2:$A$1451,"&lt;"&amp;DATE($B$3+1,1,1),'Sales Data'!$C$2:$C$1451,IF($B$4="All","*",$B$4),'Sales Data'!$D$2:$D$1451,IF($B$5="All","*",$B$5))</f>
        <v>499422.10589999991</v>
      </c>
      <c r="G5" s="2" t="s">
        <v>30</v>
      </c>
      <c r="H5" s="4">
        <f>SUMIFS('Sales Data'!$I$2:$I$1451,'Sales Data'!$E$2:$E$1451,G5,'Sales Data'!$A$2:$A$1451,"&gt;="&amp;DATE($B$3,1,1),'Sales Data'!$A$2:$A$1451,"&lt;"&amp;DATE($B$3+1,1,1),'Sales Data'!$C$2:$C$1451,IF($B$4="All","*",$B$4),'Sales Data'!$D$2:$D$1451,IF($B$5="All","*",$B$5))</f>
        <v>270162.37030000001</v>
      </c>
      <c r="J5" s="2" t="s">
        <v>31</v>
      </c>
      <c r="K5" s="4">
        <f>SUMIFS('Sales Data'!$I$2:$I$1451,'Sales Data'!$C$2:$C$1451,J5,'Sales Data'!$A$2:$A$1451,"&gt;="&amp;DATE($B$3,1,1),'Sales Data'!$A$2:$A$1451,"&lt;"&amp;DATE($B$3+1,1,1),'Sales Data'!$D$2:$D$1451,IF($B$5="All","*",$B$5))</f>
        <v>429048.25719999993</v>
      </c>
      <c r="M5" s="2" t="s">
        <v>32</v>
      </c>
      <c r="N5" s="4">
        <f>SUMIFS('Sales Data'!$I$2:$I$1451,'Sales Data'!$D$2:$D$1451,M5,'Sales Data'!$A$2:$A$1451,"&gt;="&amp;DATE($B$3,1,1),'Sales Data'!$A$2:$A$1451,"&lt;"&amp;DATE($B$3+1,1,1),'Sales Data'!$C$2:$C$1451,IF($B$4="All","*",$B$4))</f>
        <v>564689.73279999988</v>
      </c>
    </row>
    <row r="6" spans="1:16">
      <c r="A6" s="1" t="s">
        <v>33</v>
      </c>
      <c r="B6" s="99">
        <v>46197</v>
      </c>
      <c r="D6" s="2" t="s">
        <v>34</v>
      </c>
      <c r="E6" s="5">
        <f>IFERROR(E5/E4,0)</f>
        <v>0.34001900243145533</v>
      </c>
      <c r="G6" s="2" t="s">
        <v>35</v>
      </c>
      <c r="H6" s="4">
        <f>SUMIFS('Sales Data'!$I$2:$I$1451,'Sales Data'!$E$2:$E$1451,G6,'Sales Data'!$A$2:$A$1451,"&gt;="&amp;DATE($B$3,1,1),'Sales Data'!$A$2:$A$1451,"&lt;"&amp;DATE($B$3+1,1,1),'Sales Data'!$C$2:$C$1451,IF($B$4="All","*",$B$4),'Sales Data'!$D$2:$D$1451,IF($B$5="All","*",$B$5))</f>
        <v>149250.59400000001</v>
      </c>
      <c r="J6" s="2" t="s">
        <v>36</v>
      </c>
      <c r="K6" s="4">
        <f>SUMIFS('Sales Data'!$I$2:$I$1451,'Sales Data'!$C$2:$C$1451,J6,'Sales Data'!$A$2:$A$1451,"&gt;="&amp;DATE($B$3,1,1),'Sales Data'!$A$2:$A$1451,"&lt;"&amp;DATE($B$3+1,1,1),'Sales Data'!$D$2:$D$1451,IF($B$5="All","*",$B$5))</f>
        <v>338322.28789999994</v>
      </c>
      <c r="M6" s="2" t="s">
        <v>37</v>
      </c>
      <c r="N6" s="4">
        <f>SUMIFS('Sales Data'!$I$2:$I$1451,'Sales Data'!$D$2:$D$1451,M6,'Sales Data'!$A$2:$A$1451,"&gt;="&amp;DATE($B$3,1,1),'Sales Data'!$A$2:$A$1451,"&lt;"&amp;DATE($B$3+1,1,1),'Sales Data'!$C$2:$C$1451,IF($B$4="All","*",$B$4))</f>
        <v>67203.530700000003</v>
      </c>
    </row>
    <row r="7" spans="1:16">
      <c r="D7" s="2" t="s">
        <v>38</v>
      </c>
      <c r="E7" s="6">
        <f>COUNTIFS('Sales Data'!$A$2:$A$1451,"&gt;="&amp;DATE($B$3,1,1),'Sales Data'!$A$2:$A$1451,"&lt;"&amp;DATE($B$3+1,1,1),'Sales Data'!$C$2:$C$1451,IF($B$4="All","*",$B$4),'Sales Data'!$D$2:$D$1451,IF($B$5="All","*",$B$5),'Sales Data'!$B$2:$B$1451,"&lt;&gt;")</f>
        <v>475</v>
      </c>
      <c r="G7" s="2" t="s">
        <v>39</v>
      </c>
      <c r="H7" s="4">
        <f>SUMIFS('Sales Data'!$I$2:$I$1451,'Sales Data'!$E$2:$E$1451,G7,'Sales Data'!$A$2:$A$1451,"&gt;="&amp;DATE($B$3,1,1),'Sales Data'!$A$2:$A$1451,"&lt;"&amp;DATE($B$3+1,1,1),'Sales Data'!$C$2:$C$1451,IF($B$4="All","*",$B$4),'Sales Data'!$D$2:$D$1451,IF($B$5="All","*",$B$5))</f>
        <v>170809.47580000007</v>
      </c>
      <c r="J7" s="2" t="s">
        <v>40</v>
      </c>
      <c r="K7" s="4">
        <f>SUMIFS('Sales Data'!$I$2:$I$1451,'Sales Data'!$C$2:$C$1451,J7,'Sales Data'!$A$2:$A$1451,"&gt;="&amp;DATE($B$3,1,1),'Sales Data'!$A$2:$A$1451,"&lt;"&amp;DATE($B$3+1,1,1),'Sales Data'!$D$2:$D$1451,IF($B$5="All","*",$B$5))</f>
        <v>377275.79670000006</v>
      </c>
    </row>
    <row r="8" spans="1:16">
      <c r="D8" s="2" t="s">
        <v>41</v>
      </c>
      <c r="E8" s="4">
        <f>IFERROR(E4/E7,0)</f>
        <v>3092.224117684214</v>
      </c>
      <c r="G8" s="2" t="s">
        <v>42</v>
      </c>
      <c r="H8" s="4">
        <f>SUMIFS('Sales Data'!$I$2:$I$1451,'Sales Data'!$E$2:$E$1451,G8,'Sales Data'!$A$2:$A$1451,"&gt;="&amp;DATE($B$3,1,1),'Sales Data'!$A$2:$A$1451,"&lt;"&amp;DATE($B$3+1,1,1),'Sales Data'!$C$2:$C$1451,IF($B$4="All","*",$B$4),'Sales Data'!$D$2:$D$1451,IF($B$5="All","*",$B$5))</f>
        <v>351456.73099999991</v>
      </c>
    </row>
    <row r="9" spans="1:16">
      <c r="A9" s="3" t="s">
        <v>43</v>
      </c>
      <c r="B9" s="3" t="s">
        <v>20</v>
      </c>
      <c r="C9" s="3" t="s">
        <v>44</v>
      </c>
      <c r="D9" s="2" t="s">
        <v>45</v>
      </c>
      <c r="E9" s="5">
        <f>IFERROR(E4/SUMIFS('Sales Data'!$I$2:$I$1451,'Sales Data'!$A$2:$A$1451,"&gt;="&amp;DATE($B$3-1,1,1),'Sales Data'!$A$2:$A$1451,"&lt;"&amp;DATE($B$3,1,1),'Sales Data'!$C$2:$C$1451,IF($B$4="All","*",$B$4),'Sales Data'!$D$2:$D$1451,IF($B$5="All","*",$B$5))-1,0)</f>
        <v>0.16429041760040275</v>
      </c>
      <c r="G9" s="2" t="s">
        <v>46</v>
      </c>
      <c r="H9" s="4">
        <f>SUMIFS('Sales Data'!$I$2:$I$1451,'Sales Data'!$E$2:$E$1451,G9,'Sales Data'!$A$2:$A$1451,"&gt;="&amp;DATE($B$3,1,1),'Sales Data'!$A$2:$A$1451,"&lt;"&amp;DATE($B$3+1,1,1),'Sales Data'!$C$2:$C$1451,IF($B$4="All","*",$B$4),'Sales Data'!$D$2:$D$1451,IF($B$5="All","*",$B$5))</f>
        <v>42423.525999999998</v>
      </c>
    </row>
    <row r="10" spans="1:16">
      <c r="A10" s="2" t="str">
        <f>TEXT(DATE($B$3,1,1),"mmm")</f>
        <v>Jan</v>
      </c>
      <c r="B10" s="4">
        <f>SUMIFS('Sales Data'!$I$2:$I$1451,'Sales Data'!$A$2:$A$1451,"&gt;="&amp;DATE($B$3,1,1),'Sales Data'!$A$2:$A$1451,"&lt;"&amp;DATE($B$3,2,1),'Sales Data'!$C$2:$C$1451,IF($B$4="All","*",$B$4),'Sales Data'!$D$2:$D$1451,IF($B$5="All","*",$B$5))</f>
        <v>146158.77169999995</v>
      </c>
      <c r="C10" s="4">
        <f>SUMIFS('Sales Data'!$K$2:$K$1451,'Sales Data'!$A$2:$A$1451,"&gt;="&amp;DATE($B$3,1,1),'Sales Data'!$A$2:$A$1451,"&lt;"&amp;DATE($B$3,2,1),'Sales Data'!$C$2:$C$1451,IF($B$4="All","*",$B$4),'Sales Data'!$D$2:$D$1451,IF($B$5="All","*",$B$5))</f>
        <v>48450.681700000016</v>
      </c>
      <c r="G10" s="2" t="s">
        <v>47</v>
      </c>
      <c r="H10" s="4">
        <f>SUMIFS('Sales Data'!$I$2:$I$1451,'Sales Data'!$E$2:$E$1451,G10,'Sales Data'!$A$2:$A$1451,"&gt;="&amp;DATE($B$3,1,1),'Sales Data'!$A$2:$A$1451,"&lt;"&amp;DATE($B$3+1,1,1),'Sales Data'!$C$2:$C$1451,IF($B$4="All","*",$B$4),'Sales Data'!$D$2:$D$1451,IF($B$5="All","*",$B$5))</f>
        <v>38463.730100000008</v>
      </c>
    </row>
    <row r="11" spans="1:16">
      <c r="A11" s="2" t="str">
        <f>TEXT(DATE($B$3,2,1),"mmm")</f>
        <v>Feb</v>
      </c>
      <c r="B11" s="4">
        <f>SUMIFS('Sales Data'!$I$2:$I$1451,'Sales Data'!$A$2:$A$1451,"&gt;="&amp;DATE($B$3,2,1),'Sales Data'!$A$2:$A$1451,"&lt;"&amp;DATE($B$3,3,1),'Sales Data'!$C$2:$C$1451,IF($B$4="All","*",$B$4),'Sales Data'!$D$2:$D$1451,IF($B$5="All","*",$B$5))</f>
        <v>117455.08330000001</v>
      </c>
      <c r="C11" s="4">
        <f>SUMIFS('Sales Data'!$K$2:$K$1451,'Sales Data'!$A$2:$A$1451,"&gt;="&amp;DATE($B$3,2,1),'Sales Data'!$A$2:$A$1451,"&lt;"&amp;DATE($B$3,3,1),'Sales Data'!$C$2:$C$1451,IF($B$4="All","*",$B$4),'Sales Data'!$D$2:$D$1451,IF($B$5="All","*",$B$5))</f>
        <v>38688.503299999989</v>
      </c>
      <c r="G11" s="2" t="s">
        <v>48</v>
      </c>
      <c r="H11" s="4">
        <f>SUMIFS('Sales Data'!$I$2:$I$1451,'Sales Data'!$E$2:$E$1451,G11,'Sales Data'!$A$2:$A$1451,"&gt;="&amp;DATE($B$3,1,1),'Sales Data'!$A$2:$A$1451,"&lt;"&amp;DATE($B$3+1,1,1),'Sales Data'!$C$2:$C$1451,IF($B$4="All","*",$B$4),'Sales Data'!$D$2:$D$1451,IF($B$5="All","*",$B$5))</f>
        <v>28739.800600000006</v>
      </c>
    </row>
    <row r="12" spans="1:16">
      <c r="A12" s="2" t="str">
        <f>TEXT(DATE($B$3,3,1),"mmm")</f>
        <v>Mar</v>
      </c>
      <c r="B12" s="4">
        <f>SUMIFS('Sales Data'!$I$2:$I$1451,'Sales Data'!$A$2:$A$1451,"&gt;="&amp;DATE($B$3,3,1),'Sales Data'!$A$2:$A$1451,"&lt;"&amp;DATE($B$3,4,1),'Sales Data'!$C$2:$C$1451,IF($B$4="All","*",$B$4),'Sales Data'!$D$2:$D$1451,IF($B$5="All","*",$B$5))</f>
        <v>131681.5833</v>
      </c>
      <c r="C12" s="4">
        <f>SUMIFS('Sales Data'!$K$2:$K$1451,'Sales Data'!$A$2:$A$1451,"&gt;="&amp;DATE($B$3,3,1),'Sales Data'!$A$2:$A$1451,"&lt;"&amp;DATE($B$3,4,1),'Sales Data'!$C$2:$C$1451,IF($B$4="All","*",$B$4),'Sales Data'!$D$2:$D$1451,IF($B$5="All","*",$B$5))</f>
        <v>47774.583300000013</v>
      </c>
    </row>
    <row r="13" spans="1:16">
      <c r="A13" s="2" t="str">
        <f>TEXT(DATE($B$3,4,1),"mmm")</f>
        <v>Apr</v>
      </c>
      <c r="B13" s="4">
        <f>SUMIFS('Sales Data'!$I$2:$I$1451,'Sales Data'!$A$2:$A$1451,"&gt;="&amp;DATE($B$3,4,1),'Sales Data'!$A$2:$A$1451,"&lt;"&amp;DATE($B$3,5,1),'Sales Data'!$C$2:$C$1451,IF($B$4="All","*",$B$4),'Sales Data'!$D$2:$D$1451,IF($B$5="All","*",$B$5))</f>
        <v>127291.48289999999</v>
      </c>
      <c r="C13" s="4">
        <f>SUMIFS('Sales Data'!$K$2:$K$1451,'Sales Data'!$A$2:$A$1451,"&gt;="&amp;DATE($B$3,4,1),'Sales Data'!$A$2:$A$1451,"&lt;"&amp;DATE($B$3,5,1),'Sales Data'!$C$2:$C$1451,IF($B$4="All","*",$B$4),'Sales Data'!$D$2:$D$1451,IF($B$5="All","*",$B$5))</f>
        <v>44835.222900000008</v>
      </c>
    </row>
    <row r="14" spans="1:16">
      <c r="A14" s="2" t="str">
        <f>TEXT(DATE($B$3,5,1),"mmm")</f>
        <v>May</v>
      </c>
      <c r="B14" s="4">
        <f>SUMIFS('Sales Data'!$I$2:$I$1451,'Sales Data'!$A$2:$A$1451,"&gt;="&amp;DATE($B$3,5,1),'Sales Data'!$A$2:$A$1451,"&lt;"&amp;DATE($B$3,6,1),'Sales Data'!$C$2:$C$1451,IF($B$4="All","*",$B$4),'Sales Data'!$D$2:$D$1451,IF($B$5="All","*",$B$5))</f>
        <v>156998.88660000003</v>
      </c>
      <c r="C14" s="4">
        <f>SUMIFS('Sales Data'!$K$2:$K$1451,'Sales Data'!$A$2:$A$1451,"&gt;="&amp;DATE($B$3,5,1),'Sales Data'!$A$2:$A$1451,"&lt;"&amp;DATE($B$3,6,1),'Sales Data'!$C$2:$C$1451,IF($B$4="All","*",$B$4),'Sales Data'!$D$2:$D$1451,IF($B$5="All","*",$B$5))</f>
        <v>56273.986600000011</v>
      </c>
    </row>
    <row r="15" spans="1:16">
      <c r="A15" s="2" t="str">
        <f>TEXT(DATE($B$3,6,1),"mmm")</f>
        <v>Jun</v>
      </c>
      <c r="B15" s="4">
        <f>SUMIFS('Sales Data'!$I$2:$I$1451,'Sales Data'!$A$2:$A$1451,"&gt;="&amp;DATE($B$3,6,1),'Sales Data'!$A$2:$A$1451,"&lt;"&amp;DATE($B$3,7,1),'Sales Data'!$C$2:$C$1451,IF($B$4="All","*",$B$4),'Sales Data'!$D$2:$D$1451,IF($B$5="All","*",$B$5))</f>
        <v>65061.121599999984</v>
      </c>
      <c r="C15" s="4">
        <f>SUMIFS('Sales Data'!$K$2:$K$1451,'Sales Data'!$A$2:$A$1451,"&gt;="&amp;DATE($B$3,6,1),'Sales Data'!$A$2:$A$1451,"&lt;"&amp;DATE($B$3,7,1),'Sales Data'!$C$2:$C$1451,IF($B$4="All","*",$B$4),'Sales Data'!$D$2:$D$1451,IF($B$5="All","*",$B$5))</f>
        <v>23778.3616</v>
      </c>
    </row>
    <row r="16" spans="1:16">
      <c r="A16" s="2" t="str">
        <f>TEXT(DATE($B$3,7,1),"mmm")</f>
        <v>Jul</v>
      </c>
      <c r="B16" s="4">
        <f>SUMIFS('Sales Data'!$I$2:$I$1451,'Sales Data'!$A$2:$A$1451,"&gt;="&amp;DATE($B$3,7,1),'Sales Data'!$A$2:$A$1451,"&lt;"&amp;DATE($B$3,8,1),'Sales Data'!$C$2:$C$1451,IF($B$4="All","*",$B$4),'Sales Data'!$D$2:$D$1451,IF($B$5="All","*",$B$5))</f>
        <v>92694.499699999986</v>
      </c>
      <c r="C16" s="4">
        <f>SUMIFS('Sales Data'!$K$2:$K$1451,'Sales Data'!$A$2:$A$1451,"&gt;="&amp;DATE($B$3,7,1),'Sales Data'!$A$2:$A$1451,"&lt;"&amp;DATE($B$3,8,1),'Sales Data'!$C$2:$C$1451,IF($B$4="All","*",$B$4),'Sales Data'!$D$2:$D$1451,IF($B$5="All","*",$B$5))</f>
        <v>31707.639700000003</v>
      </c>
    </row>
    <row r="17" spans="1:3">
      <c r="A17" s="2" t="str">
        <f>TEXT(DATE($B$3,8,1),"mmm")</f>
        <v>Aug</v>
      </c>
      <c r="B17" s="4">
        <f>SUMIFS('Sales Data'!$I$2:$I$1451,'Sales Data'!$A$2:$A$1451,"&gt;="&amp;DATE($B$3,8,1),'Sales Data'!$A$2:$A$1451,"&lt;"&amp;DATE($B$3,9,1),'Sales Data'!$C$2:$C$1451,IF($B$4="All","*",$B$4),'Sales Data'!$D$2:$D$1451,IF($B$5="All","*",$B$5))</f>
        <v>105609.77500000002</v>
      </c>
      <c r="C17" s="4">
        <f>SUMIFS('Sales Data'!$K$2:$K$1451,'Sales Data'!$A$2:$A$1451,"&gt;="&amp;DATE($B$3,8,1),'Sales Data'!$A$2:$A$1451,"&lt;"&amp;DATE($B$3,9,1),'Sales Data'!$C$2:$C$1451,IF($B$4="All","*",$B$4),'Sales Data'!$D$2:$D$1451,IF($B$5="All","*",$B$5))</f>
        <v>35635.684999999998</v>
      </c>
    </row>
    <row r="18" spans="1:3">
      <c r="A18" s="2" t="str">
        <f>TEXT(DATE($B$3,9,1),"mmm")</f>
        <v>Sep</v>
      </c>
      <c r="B18" s="4">
        <f>SUMIFS('Sales Data'!$I$2:$I$1451,'Sales Data'!$A$2:$A$1451,"&gt;="&amp;DATE($B$3,9,1),'Sales Data'!$A$2:$A$1451,"&lt;"&amp;DATE($B$3,10,1),'Sales Data'!$C$2:$C$1451,IF($B$4="All","*",$B$4),'Sales Data'!$D$2:$D$1451,IF($B$5="All","*",$B$5))</f>
        <v>66644.397600000011</v>
      </c>
      <c r="C18" s="4">
        <f>SUMIFS('Sales Data'!$K$2:$K$1451,'Sales Data'!$A$2:$A$1451,"&gt;="&amp;DATE($B$3,9,1),'Sales Data'!$A$2:$A$1451,"&lt;"&amp;DATE($B$3,10,1),'Sales Data'!$C$2:$C$1451,IF($B$4="All","*",$B$4),'Sales Data'!$D$2:$D$1451,IF($B$5="All","*",$B$5))</f>
        <v>23564.997600000002</v>
      </c>
    </row>
    <row r="19" spans="1:3">
      <c r="A19" s="2" t="str">
        <f>TEXT(DATE($B$3,10,1),"mmm")</f>
        <v>Oct</v>
      </c>
      <c r="B19" s="4">
        <f>SUMIFS('Sales Data'!$I$2:$I$1451,'Sales Data'!$A$2:$A$1451,"&gt;="&amp;DATE($B$3,10,1),'Sales Data'!$A$2:$A$1451,"&lt;"&amp;DATE($B$3,11,1),'Sales Data'!$C$2:$C$1451,IF($B$4="All","*",$B$4),'Sales Data'!$D$2:$D$1451,IF($B$5="All","*",$B$5))</f>
        <v>137538.74100000001</v>
      </c>
      <c r="C19" s="4">
        <f>SUMIFS('Sales Data'!$K$2:$K$1451,'Sales Data'!$A$2:$A$1451,"&gt;="&amp;DATE($B$3,10,1),'Sales Data'!$A$2:$A$1451,"&lt;"&amp;DATE($B$3,11,1),'Sales Data'!$C$2:$C$1451,IF($B$4="All","*",$B$4),'Sales Data'!$D$2:$D$1451,IF($B$5="All","*",$B$5))</f>
        <v>43637.29099999999</v>
      </c>
    </row>
    <row r="20" spans="1:3">
      <c r="A20" s="2" t="str">
        <f>TEXT(DATE($B$3,11,1),"mmm")</f>
        <v>Nov</v>
      </c>
      <c r="B20" s="4">
        <f>SUMIFS('Sales Data'!$I$2:$I$1451,'Sales Data'!$A$2:$A$1451,"&gt;="&amp;DATE($B$3,11,1),'Sales Data'!$A$2:$A$1451,"&lt;"&amp;DATE($B$3,12,1),'Sales Data'!$C$2:$C$1451,IF($B$4="All","*",$B$4),'Sales Data'!$D$2:$D$1451,IF($B$5="All","*",$B$5))</f>
        <v>126808.92409999999</v>
      </c>
      <c r="C20" s="4">
        <f>SUMIFS('Sales Data'!$K$2:$K$1451,'Sales Data'!$A$2:$A$1451,"&gt;="&amp;DATE($B$3,11,1),'Sales Data'!$A$2:$A$1451,"&lt;"&amp;DATE($B$3,12,1),'Sales Data'!$C$2:$C$1451,IF($B$4="All","*",$B$4),'Sales Data'!$D$2:$D$1451,IF($B$5="All","*",$B$5))</f>
        <v>41053.274099999995</v>
      </c>
    </row>
    <row r="21" spans="1:3">
      <c r="A21" s="2" t="str">
        <f>TEXT(DATE($B$3,12,1),"mmm")</f>
        <v>Dec</v>
      </c>
      <c r="B21" s="4">
        <f>SUMIFS('Sales Data'!$I$2:$I$1451,'Sales Data'!$A$2:$A$1451,"&gt;="&amp;DATE($B$3,12,1),'Sales Data'!$A$2:$A$1451,"&lt;"&amp;DATE($B$3,13,1),'Sales Data'!$C$2:$C$1451,IF($B$4="All","*",$B$4),'Sales Data'!$D$2:$D$1451,IF($B$5="All","*",$B$5))</f>
        <v>194863.18910000008</v>
      </c>
      <c r="C21" s="4">
        <f>SUMIFS('Sales Data'!$K$2:$K$1451,'Sales Data'!$A$2:$A$1451,"&gt;="&amp;DATE($B$3,12,1),'Sales Data'!$A$2:$A$1451,"&lt;"&amp;DATE($B$3,13,1),'Sales Data'!$C$2:$C$1451,IF($B$4="All","*",$B$4),'Sales Data'!$D$2:$D$1451,IF($B$5="All","*",$B$5))</f>
        <v>64021.879100000006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showGridLines="0" zoomScale="91" workbookViewId="0">
      <selection activeCell="I29" sqref="I29:P29"/>
    </sheetView>
  </sheetViews>
  <sheetFormatPr defaultRowHeight="13.8"/>
  <cols>
    <col min="1" max="1" width="12" customWidth="1"/>
    <col min="2" max="15" width="11" customWidth="1"/>
    <col min="16" max="16" width="12" customWidth="1"/>
  </cols>
  <sheetData>
    <row r="1" spans="1:16" ht="30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30" customHeigh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1:16" ht="22.05" customHeight="1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</row>
    <row r="5" spans="1:16" ht="15.6">
      <c r="A5" s="7" t="s">
        <v>2</v>
      </c>
      <c r="B5" s="7"/>
      <c r="C5" s="8">
        <v>2026</v>
      </c>
      <c r="D5" s="9"/>
      <c r="F5" s="7" t="s">
        <v>3</v>
      </c>
      <c r="G5" s="7"/>
      <c r="H5" s="8" t="s">
        <v>4</v>
      </c>
      <c r="I5" s="10"/>
      <c r="J5" s="9"/>
      <c r="L5" s="7" t="s">
        <v>5</v>
      </c>
      <c r="M5" s="7"/>
      <c r="N5" s="8" t="s">
        <v>4</v>
      </c>
      <c r="O5" s="10"/>
      <c r="P5" s="9"/>
    </row>
    <row r="7" spans="1:16">
      <c r="A7" s="11" t="s">
        <v>6</v>
      </c>
      <c r="B7" s="12"/>
      <c r="C7" s="13"/>
      <c r="D7" s="23" t="s">
        <v>7</v>
      </c>
      <c r="E7" s="24"/>
      <c r="F7" s="25"/>
      <c r="G7" s="35" t="s">
        <v>8</v>
      </c>
      <c r="H7" s="36"/>
      <c r="I7" s="37"/>
      <c r="J7" s="47" t="s">
        <v>9</v>
      </c>
      <c r="K7" s="48"/>
      <c r="L7" s="49"/>
      <c r="M7" s="59" t="s">
        <v>10</v>
      </c>
      <c r="N7" s="60"/>
      <c r="O7" s="60"/>
      <c r="P7" s="61"/>
    </row>
    <row r="8" spans="1:16">
      <c r="A8" s="14"/>
      <c r="B8" s="15"/>
      <c r="C8" s="16"/>
      <c r="D8" s="26"/>
      <c r="E8" s="27"/>
      <c r="F8" s="28"/>
      <c r="G8" s="38"/>
      <c r="H8" s="39"/>
      <c r="I8" s="40"/>
      <c r="J8" s="50"/>
      <c r="K8" s="51"/>
      <c r="L8" s="52"/>
      <c r="M8" s="62"/>
      <c r="N8" s="63"/>
      <c r="O8" s="63"/>
      <c r="P8" s="64"/>
    </row>
    <row r="9" spans="1:16">
      <c r="A9" s="17">
        <f>Analysis!E4</f>
        <v>1468806.4559000016</v>
      </c>
      <c r="B9" s="18"/>
      <c r="C9" s="19"/>
      <c r="D9" s="29">
        <f>Analysis!E5</f>
        <v>499422.10589999991</v>
      </c>
      <c r="E9" s="30"/>
      <c r="F9" s="31"/>
      <c r="G9" s="41">
        <f>Analysis!E6</f>
        <v>0.34001900243145533</v>
      </c>
      <c r="H9" s="42"/>
      <c r="I9" s="43"/>
      <c r="J9" s="53">
        <f>Analysis!E7</f>
        <v>475</v>
      </c>
      <c r="K9" s="54"/>
      <c r="L9" s="55"/>
      <c r="M9" s="65">
        <f>Analysis!E9</f>
        <v>0.16429041760040275</v>
      </c>
      <c r="N9" s="66"/>
      <c r="O9" s="66"/>
      <c r="P9" s="67"/>
    </row>
    <row r="10" spans="1:16">
      <c r="A10" s="20"/>
      <c r="B10" s="21"/>
      <c r="C10" s="22"/>
      <c r="D10" s="32"/>
      <c r="E10" s="33"/>
      <c r="F10" s="34"/>
      <c r="G10" s="44"/>
      <c r="H10" s="45"/>
      <c r="I10" s="46"/>
      <c r="J10" s="56"/>
      <c r="K10" s="57"/>
      <c r="L10" s="58"/>
      <c r="M10" s="68"/>
      <c r="N10" s="69"/>
      <c r="O10" s="69"/>
      <c r="P10" s="70"/>
    </row>
    <row r="12" spans="1:16" ht="24" customHeight="1">
      <c r="A12" s="73" t="s">
        <v>11</v>
      </c>
      <c r="B12" s="73"/>
      <c r="C12" s="73"/>
      <c r="D12" s="73"/>
      <c r="E12" s="73"/>
      <c r="F12" s="73"/>
      <c r="G12" s="73"/>
      <c r="H12" s="73"/>
      <c r="I12" s="73"/>
      <c r="J12" s="73"/>
      <c r="K12" s="73" t="s">
        <v>12</v>
      </c>
      <c r="L12" s="73"/>
      <c r="M12" s="73"/>
      <c r="N12" s="73"/>
      <c r="O12" s="73"/>
      <c r="P12" s="73"/>
    </row>
    <row r="29" spans="1:16" ht="24" customHeight="1">
      <c r="A29" s="73" t="s">
        <v>13</v>
      </c>
      <c r="B29" s="73"/>
      <c r="C29" s="73"/>
      <c r="D29" s="73"/>
      <c r="E29" s="73"/>
      <c r="F29" s="73"/>
      <c r="G29" s="73"/>
      <c r="H29" s="73"/>
      <c r="I29" s="73" t="s">
        <v>14</v>
      </c>
      <c r="J29" s="73"/>
      <c r="K29" s="73"/>
      <c r="L29" s="73"/>
      <c r="M29" s="73"/>
      <c r="N29" s="73"/>
      <c r="O29" s="73"/>
      <c r="P29" s="73"/>
    </row>
    <row r="49" spans="1:16" ht="24" customHeight="1">
      <c r="A49" s="71" t="str">
        <f>"Source: Sales Data tab | Refreshed: "&amp;TEXT(Analysis!B6,"yyyy-mm-dd")&amp;" | Tip: paste replacement rows into the Sales Data table and extend formulas in Revenue and Profit."</f>
        <v>Source: Sales Data tab | Refreshed: 2026-06-24 | Tip: paste replacement rows into the Sales Data table and extend formulas in Revenue and Profit.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</row>
  </sheetData>
  <mergeCells count="23">
    <mergeCell ref="A29:H29"/>
    <mergeCell ref="I29:P29"/>
    <mergeCell ref="A49:P49"/>
    <mergeCell ref="J7:L8"/>
    <mergeCell ref="J9:L10"/>
    <mergeCell ref="M7:P8"/>
    <mergeCell ref="M9:P10"/>
    <mergeCell ref="A12:J12"/>
    <mergeCell ref="K12:P12"/>
    <mergeCell ref="A7:C8"/>
    <mergeCell ref="A9:C10"/>
    <mergeCell ref="D7:F8"/>
    <mergeCell ref="D9:F10"/>
    <mergeCell ref="G7:I8"/>
    <mergeCell ref="G9:I10"/>
    <mergeCell ref="A1:P2"/>
    <mergeCell ref="A3:P3"/>
    <mergeCell ref="A5:B5"/>
    <mergeCell ref="C5:D5"/>
    <mergeCell ref="F5:G5"/>
    <mergeCell ref="H5:J5"/>
    <mergeCell ref="L5:M5"/>
    <mergeCell ref="N5:P5"/>
  </mergeCells>
  <dataValidations count="3">
    <dataValidation type="list" sqref="C5:D5" xr:uid="{00000000-0002-0000-0000-000000000000}">
      <formula1>"2024,2025,2026"</formula1>
    </dataValidation>
    <dataValidation type="list" sqref="H5:J5" xr:uid="{00000000-0002-0000-0000-000001000000}">
      <formula1>"All,North,South,East,West"</formula1>
    </dataValidation>
    <dataValidation type="list" sqref="N5:P5" xr:uid="{00000000-0002-0000-0000-000002000000}">
      <formula1>"All,Electronics,Office,Accessories"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Kumar Singh</cp:lastModifiedBy>
  <dcterms:modified xsi:type="dcterms:W3CDTF">2026-06-24T14:25:32Z</dcterms:modified>
</cp:coreProperties>
</file>